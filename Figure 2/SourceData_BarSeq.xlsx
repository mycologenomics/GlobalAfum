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man/Desktop/"/>
    </mc:Choice>
  </mc:AlternateContent>
  <xr:revisionPtr revIDLastSave="0" documentId="8_{9690F4F1-582D-D743-A57E-3F066597B1A3}" xr6:coauthVersionLast="47" xr6:coauthVersionMax="47" xr10:uidLastSave="{00000000-0000-0000-0000-000000000000}"/>
  <bookViews>
    <workbookView xWindow="5580" yWindow="2380" windowWidth="27640" windowHeight="16680" xr2:uid="{FBF2292C-1F67-D240-8196-1CD6C42200B6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3" i="1" l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<sst xmlns="http://schemas.openxmlformats.org/spreadsheetml/2006/main" count="272" uniqueCount="143">
  <si>
    <t>New ID</t>
  </si>
  <si>
    <t>Cluster</t>
  </si>
  <si>
    <t>Imazalil</t>
  </si>
  <si>
    <t>Boscalid</t>
  </si>
  <si>
    <t>Carbendazim</t>
  </si>
  <si>
    <t>Trifloxystrobin</t>
  </si>
  <si>
    <t>Voriconazole</t>
  </si>
  <si>
    <t>Grouping</t>
  </si>
  <si>
    <t>E16</t>
  </si>
  <si>
    <t>ARAF</t>
  </si>
  <si>
    <t>E9</t>
  </si>
  <si>
    <t>E23</t>
  </si>
  <si>
    <t>E25</t>
  </si>
  <si>
    <t>E29</t>
  </si>
  <si>
    <t>E30</t>
  </si>
  <si>
    <t>E32</t>
  </si>
  <si>
    <t>E36</t>
  </si>
  <si>
    <t>C107</t>
  </si>
  <si>
    <t>C92</t>
  </si>
  <si>
    <t>C104</t>
  </si>
  <si>
    <t>C110</t>
  </si>
  <si>
    <t>C142</t>
  </si>
  <si>
    <t>C160</t>
  </si>
  <si>
    <t>C162</t>
  </si>
  <si>
    <t>E181</t>
  </si>
  <si>
    <t>E185</t>
  </si>
  <si>
    <t>E147</t>
  </si>
  <si>
    <t>C187</t>
  </si>
  <si>
    <t>E243</t>
  </si>
  <si>
    <t>C143</t>
  </si>
  <si>
    <t>E169</t>
  </si>
  <si>
    <t>C207</t>
  </si>
  <si>
    <t>C246</t>
  </si>
  <si>
    <t>C307</t>
  </si>
  <si>
    <t>C5</t>
  </si>
  <si>
    <t>MDR</t>
  </si>
  <si>
    <t>E15</t>
  </si>
  <si>
    <t>E19</t>
  </si>
  <si>
    <t>E4</t>
  </si>
  <si>
    <t>E11</t>
  </si>
  <si>
    <t>E12</t>
  </si>
  <si>
    <t>C109</t>
  </si>
  <si>
    <t>C89</t>
  </si>
  <si>
    <t>C94</t>
  </si>
  <si>
    <t>C99</t>
  </si>
  <si>
    <t>C100</t>
  </si>
  <si>
    <t>E145</t>
  </si>
  <si>
    <t>E146</t>
  </si>
  <si>
    <t>E148</t>
  </si>
  <si>
    <t>E244</t>
  </si>
  <si>
    <t>E197</t>
  </si>
  <si>
    <t>E205</t>
  </si>
  <si>
    <t>E245</t>
  </si>
  <si>
    <t>E247</t>
  </si>
  <si>
    <t>C215</t>
  </si>
  <si>
    <t>E39</t>
  </si>
  <si>
    <t>E50</t>
  </si>
  <si>
    <t>E40</t>
  </si>
  <si>
    <t>E41</t>
  </si>
  <si>
    <t>E42</t>
  </si>
  <si>
    <t>E43</t>
  </si>
  <si>
    <t>E44</t>
  </si>
  <si>
    <t>E45</t>
  </si>
  <si>
    <t>E48</t>
  </si>
  <si>
    <t>E111</t>
  </si>
  <si>
    <t>E180</t>
  </si>
  <si>
    <t>C245</t>
  </si>
  <si>
    <t>E206</t>
  </si>
  <si>
    <t>C201</t>
  </si>
  <si>
    <t>C322</t>
  </si>
  <si>
    <t>C308</t>
  </si>
  <si>
    <t>C309</t>
  </si>
  <si>
    <t>C313</t>
  </si>
  <si>
    <t>C314</t>
  </si>
  <si>
    <t>C323</t>
  </si>
  <si>
    <t>C342</t>
  </si>
  <si>
    <t>C334</t>
  </si>
  <si>
    <t>C349</t>
  </si>
  <si>
    <t>C380</t>
  </si>
  <si>
    <t>E14</t>
  </si>
  <si>
    <t>Suscep</t>
  </si>
  <si>
    <t>C34</t>
  </si>
  <si>
    <t>C82</t>
  </si>
  <si>
    <t>C85</t>
  </si>
  <si>
    <t>C87</t>
  </si>
  <si>
    <t>C105</t>
  </si>
  <si>
    <t>C88</t>
  </si>
  <si>
    <t>C152</t>
  </si>
  <si>
    <t>C121</t>
  </si>
  <si>
    <t>C126</t>
  </si>
  <si>
    <t>C148</t>
  </si>
  <si>
    <t>C172</t>
  </si>
  <si>
    <t>E133</t>
  </si>
  <si>
    <t>E136</t>
  </si>
  <si>
    <t>E137</t>
  </si>
  <si>
    <t>C164</t>
  </si>
  <si>
    <t>C165</t>
  </si>
  <si>
    <t>C166</t>
  </si>
  <si>
    <t>C169</t>
  </si>
  <si>
    <t>E107</t>
  </si>
  <si>
    <t>E140</t>
  </si>
  <si>
    <t>E141</t>
  </si>
  <si>
    <t>E143</t>
  </si>
  <si>
    <t>E160</t>
  </si>
  <si>
    <t>E187</t>
  </si>
  <si>
    <t>E195</t>
  </si>
  <si>
    <t>E52</t>
  </si>
  <si>
    <t>E53</t>
  </si>
  <si>
    <t>E126</t>
  </si>
  <si>
    <t>E128</t>
  </si>
  <si>
    <t>E81</t>
  </si>
  <si>
    <t>E84</t>
  </si>
  <si>
    <t>E108</t>
  </si>
  <si>
    <t>E109</t>
  </si>
  <si>
    <t>E129</t>
  </si>
  <si>
    <t>E186</t>
  </si>
  <si>
    <t>E130</t>
  </si>
  <si>
    <t>E142</t>
  </si>
  <si>
    <t>E144</t>
  </si>
  <si>
    <t>E163</t>
  </si>
  <si>
    <t>E201</t>
  </si>
  <si>
    <t>E213</t>
  </si>
  <si>
    <t>E204</t>
  </si>
  <si>
    <t>C311</t>
  </si>
  <si>
    <t>C317</t>
  </si>
  <si>
    <t>C326</t>
  </si>
  <si>
    <t>C328</t>
  </si>
  <si>
    <t>C329</t>
  </si>
  <si>
    <t>C331</t>
  </si>
  <si>
    <t>C332</t>
  </si>
  <si>
    <t>C343</t>
  </si>
  <si>
    <t>C371</t>
  </si>
  <si>
    <t>C373</t>
  </si>
  <si>
    <t>C376</t>
  </si>
  <si>
    <t>C360</t>
  </si>
  <si>
    <t>C365</t>
  </si>
  <si>
    <t>C368</t>
  </si>
  <si>
    <t>C398</t>
  </si>
  <si>
    <t>C378</t>
  </si>
  <si>
    <t>C381</t>
  </si>
  <si>
    <t>C386</t>
  </si>
  <si>
    <t>C388</t>
  </si>
  <si>
    <t>C391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</si>
</sst>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PQF4NV2/Dropbox%20(The%20University%20of%20Manchester)/Global%20Afum/Docs/globalMicroreact.csv" TargetMode="External"/><Relationship Id="rId2" Type="http://schemas.openxmlformats.org/officeDocument/2006/relationships/externalLinkPath" Target="/Users/MPQF4NV2/Dropbox%20(The%20University%20of%20Manchester)/Global%20Afum/Docs/globalMicroreact.csv" TargetMode="External"/><Relationship Id="rId1" Type="http://schemas.openxmlformats.org/officeDocument/2006/relationships/externalLinkPath" Target="/Users/MPQF4NV2/Dropbox%20(The%20University%20of%20Manchester)/Global%20Afum/Docs/globalMicroreact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lobalMicroreact"/>
    </sheetNames>
    <sheetDataSet>
      <sheetData sheetId="0" refreshError="1">
        <row r="1">
          <cell r="A1" t="str">
            <v>ID</v>
          </cell>
          <cell r="B1" t="str">
            <v>Latitude</v>
          </cell>
          <cell r="C1" t="str">
            <v>Longitude</v>
          </cell>
          <cell r="D1" t="str">
            <v>Year</v>
          </cell>
          <cell r="E1" t="str">
            <v>Country</v>
          </cell>
          <cell r="F1" t="str">
            <v>Cyp51A</v>
          </cell>
          <cell r="G1" t="str">
            <v>MAT</v>
          </cell>
          <cell r="H1" t="str">
            <v>Source</v>
          </cell>
          <cell r="I1" t="str">
            <v>benA</v>
          </cell>
          <cell r="J1" t="str">
            <v>ITR MIC</v>
          </cell>
          <cell r="K1" t="str">
            <v>Cluster</v>
          </cell>
        </row>
        <row r="2">
          <cell r="A2" t="str">
            <v>C1</v>
          </cell>
          <cell r="B2">
            <v>53.800755000000002</v>
          </cell>
          <cell r="C2">
            <v>-1.549077</v>
          </cell>
          <cell r="D2">
            <v>2012</v>
          </cell>
          <cell r="E2" t="str">
            <v>UK</v>
          </cell>
          <cell r="F2" t="str">
            <v>TR34/L98H</v>
          </cell>
          <cell r="G2" t="str">
            <v>MAT1-1</v>
          </cell>
          <cell r="H2" t="str">
            <v>Clinical</v>
          </cell>
          <cell r="I2" t="str">
            <v>Wildtype</v>
          </cell>
          <cell r="J2" t="str">
            <v>&gt;16</v>
          </cell>
          <cell r="K2">
            <v>3</v>
          </cell>
        </row>
        <row r="3">
          <cell r="A3" t="str">
            <v>C10</v>
          </cell>
          <cell r="B3">
            <v>52.132632999999998</v>
          </cell>
          <cell r="C3">
            <v>5.2912660000000002</v>
          </cell>
          <cell r="D3">
            <v>2010</v>
          </cell>
          <cell r="E3" t="str">
            <v>Netherlands</v>
          </cell>
          <cell r="F3" t="str">
            <v>TR34/L98H</v>
          </cell>
          <cell r="G3" t="str">
            <v>MAT1-2</v>
          </cell>
          <cell r="H3" t="str">
            <v>Clinical</v>
          </cell>
          <cell r="I3" t="str">
            <v>F219Y</v>
          </cell>
          <cell r="J3" t="str">
            <v>&gt;16</v>
          </cell>
          <cell r="K3">
            <v>3</v>
          </cell>
        </row>
        <row r="4">
          <cell r="A4" t="str">
            <v>C100</v>
          </cell>
          <cell r="B4">
            <v>52.486243000000002</v>
          </cell>
          <cell r="C4">
            <v>-1.890401</v>
          </cell>
          <cell r="D4">
            <v>2016</v>
          </cell>
          <cell r="E4" t="str">
            <v>UK</v>
          </cell>
          <cell r="F4" t="str">
            <v>Wildtype</v>
          </cell>
          <cell r="G4" t="str">
            <v>MAT1-2</v>
          </cell>
          <cell r="H4" t="str">
            <v>Clinical</v>
          </cell>
          <cell r="I4" t="str">
            <v>Wildtype</v>
          </cell>
          <cell r="J4">
            <v>8</v>
          </cell>
          <cell r="K4">
            <v>5</v>
          </cell>
        </row>
        <row r="5">
          <cell r="A5" t="str">
            <v>C101</v>
          </cell>
          <cell r="B5">
            <v>52.205337</v>
          </cell>
          <cell r="C5">
            <v>0.12181699999999999</v>
          </cell>
          <cell r="D5">
            <v>2015</v>
          </cell>
          <cell r="E5" t="str">
            <v>UK</v>
          </cell>
          <cell r="F5" t="str">
            <v>TR34/L98H</v>
          </cell>
          <cell r="G5" t="str">
            <v>MAT1-2</v>
          </cell>
          <cell r="H5" t="str">
            <v>Clinical</v>
          </cell>
          <cell r="I5" t="str">
            <v>Wildtype</v>
          </cell>
          <cell r="J5">
            <v>16</v>
          </cell>
          <cell r="K5">
            <v>2</v>
          </cell>
        </row>
        <row r="6">
          <cell r="A6" t="str">
            <v>C102</v>
          </cell>
          <cell r="B6">
            <v>52.636878000000003</v>
          </cell>
          <cell r="C6">
            <v>-1.139759</v>
          </cell>
          <cell r="D6">
            <v>2016</v>
          </cell>
          <cell r="E6" t="str">
            <v>UK</v>
          </cell>
          <cell r="F6" t="str">
            <v>G54R</v>
          </cell>
          <cell r="G6" t="str">
            <v>MAT1-1</v>
          </cell>
          <cell r="H6" t="str">
            <v>Clinical</v>
          </cell>
          <cell r="I6" t="str">
            <v>Wildtype</v>
          </cell>
          <cell r="J6" t="str">
            <v>&gt;16</v>
          </cell>
          <cell r="K6">
            <v>4</v>
          </cell>
        </row>
        <row r="7">
          <cell r="A7" t="str">
            <v>C103</v>
          </cell>
          <cell r="B7">
            <v>51.486555000000003</v>
          </cell>
          <cell r="C7">
            <v>-0.21948200000000001</v>
          </cell>
          <cell r="D7">
            <v>2015</v>
          </cell>
          <cell r="E7" t="str">
            <v>UK</v>
          </cell>
          <cell r="F7" t="str">
            <v>G54E</v>
          </cell>
          <cell r="G7" t="str">
            <v>MAT1-1</v>
          </cell>
          <cell r="H7" t="str">
            <v>Clinical</v>
          </cell>
          <cell r="I7" t="str">
            <v>Wildtype</v>
          </cell>
          <cell r="J7" t="str">
            <v>&gt;16</v>
          </cell>
          <cell r="K7">
            <v>3</v>
          </cell>
        </row>
        <row r="8">
          <cell r="A8" t="str">
            <v>C104</v>
          </cell>
          <cell r="B8">
            <v>51.525083000000002</v>
          </cell>
          <cell r="C8">
            <v>-0.136355</v>
          </cell>
          <cell r="D8">
            <v>2015</v>
          </cell>
          <cell r="E8" t="str">
            <v>UK</v>
          </cell>
          <cell r="F8" t="str">
            <v>TR34/L98H</v>
          </cell>
          <cell r="G8" t="str">
            <v>MAT1-2</v>
          </cell>
          <cell r="H8" t="str">
            <v>Clinical</v>
          </cell>
          <cell r="I8" t="str">
            <v>Wildtype</v>
          </cell>
          <cell r="J8" t="str">
            <v>&gt;16</v>
          </cell>
          <cell r="K8">
            <v>3</v>
          </cell>
        </row>
        <row r="9">
          <cell r="A9" t="str">
            <v>C105</v>
          </cell>
          <cell r="B9">
            <v>51.521878999999998</v>
          </cell>
          <cell r="C9">
            <v>-0.121042</v>
          </cell>
          <cell r="D9">
            <v>2016</v>
          </cell>
          <cell r="E9" t="str">
            <v>UK</v>
          </cell>
          <cell r="F9" t="str">
            <v>TR34/L98H</v>
          </cell>
          <cell r="G9" t="str">
            <v>MAT1-2</v>
          </cell>
          <cell r="H9" t="str">
            <v>Clinical</v>
          </cell>
          <cell r="I9" t="str">
            <v>Wildtype</v>
          </cell>
          <cell r="J9" t="str">
            <v>&gt;16</v>
          </cell>
          <cell r="K9">
            <v>2</v>
          </cell>
        </row>
        <row r="10">
          <cell r="A10" t="str">
            <v>C106</v>
          </cell>
          <cell r="B10">
            <v>51.488709</v>
          </cell>
          <cell r="C10">
            <v>-0.17050799999999999</v>
          </cell>
          <cell r="D10">
            <v>2015</v>
          </cell>
          <cell r="E10" t="str">
            <v>UK</v>
          </cell>
          <cell r="F10" t="str">
            <v>G54W</v>
          </cell>
          <cell r="G10" t="str">
            <v>MAT1-1</v>
          </cell>
          <cell r="H10" t="str">
            <v>Clinical</v>
          </cell>
          <cell r="I10" t="str">
            <v>Wildtype</v>
          </cell>
          <cell r="K10">
            <v>5</v>
          </cell>
        </row>
        <row r="11">
          <cell r="A11" t="str">
            <v>C107</v>
          </cell>
          <cell r="B11">
            <v>51.488709</v>
          </cell>
          <cell r="C11">
            <v>-0.17050799999999999</v>
          </cell>
          <cell r="D11">
            <v>2015</v>
          </cell>
          <cell r="E11" t="str">
            <v>UK</v>
          </cell>
          <cell r="F11" t="str">
            <v>TR34/L98H</v>
          </cell>
          <cell r="G11" t="str">
            <v>MAT1-2</v>
          </cell>
          <cell r="H11" t="str">
            <v>Clinical</v>
          </cell>
          <cell r="I11" t="str">
            <v>Wildtype</v>
          </cell>
          <cell r="K11">
            <v>2</v>
          </cell>
        </row>
        <row r="12">
          <cell r="A12" t="str">
            <v>C108</v>
          </cell>
          <cell r="B12">
            <v>51.488709</v>
          </cell>
          <cell r="C12">
            <v>-0.17050799999999999</v>
          </cell>
          <cell r="D12">
            <v>2015</v>
          </cell>
          <cell r="E12" t="str">
            <v>UK</v>
          </cell>
          <cell r="F12" t="str">
            <v>G54W</v>
          </cell>
          <cell r="G12" t="str">
            <v>MAT1-1</v>
          </cell>
          <cell r="H12" t="str">
            <v>Clinical</v>
          </cell>
          <cell r="I12" t="str">
            <v>Wildtype</v>
          </cell>
          <cell r="K12">
            <v>5</v>
          </cell>
        </row>
        <row r="13">
          <cell r="A13" t="str">
            <v>C109</v>
          </cell>
          <cell r="B13">
            <v>51.488709</v>
          </cell>
          <cell r="C13">
            <v>-0.17050799999999999</v>
          </cell>
          <cell r="D13">
            <v>2015</v>
          </cell>
          <cell r="E13" t="str">
            <v>UK</v>
          </cell>
          <cell r="F13" t="str">
            <v>Wildtype</v>
          </cell>
          <cell r="G13" t="str">
            <v>MAT1-2</v>
          </cell>
          <cell r="H13" t="str">
            <v>Clinical</v>
          </cell>
          <cell r="I13" t="str">
            <v>Wildtype</v>
          </cell>
          <cell r="K13">
            <v>4</v>
          </cell>
        </row>
        <row r="14">
          <cell r="A14" t="str">
            <v>C11</v>
          </cell>
          <cell r="B14">
            <v>28.690636999999999</v>
          </cell>
          <cell r="C14">
            <v>77.209940000000003</v>
          </cell>
          <cell r="D14">
            <v>2009</v>
          </cell>
          <cell r="E14" t="str">
            <v>India</v>
          </cell>
          <cell r="F14" t="str">
            <v>TR34/L98H</v>
          </cell>
          <cell r="G14" t="str">
            <v>MAT1-1</v>
          </cell>
          <cell r="H14" t="str">
            <v>Clinical</v>
          </cell>
          <cell r="I14" t="str">
            <v>F219Y</v>
          </cell>
          <cell r="J14" t="str">
            <v>&gt;16</v>
          </cell>
          <cell r="K14">
            <v>3</v>
          </cell>
        </row>
        <row r="15">
          <cell r="A15" t="str">
            <v>C110</v>
          </cell>
          <cell r="B15">
            <v>51.488709</v>
          </cell>
          <cell r="C15">
            <v>-0.17050799999999999</v>
          </cell>
          <cell r="D15">
            <v>2015</v>
          </cell>
          <cell r="E15" t="str">
            <v>UK</v>
          </cell>
          <cell r="F15" t="str">
            <v>Wildtype</v>
          </cell>
          <cell r="G15" t="str">
            <v>MAT1-2</v>
          </cell>
          <cell r="H15" t="str">
            <v>Clinical</v>
          </cell>
          <cell r="I15" t="str">
            <v>Wildtype</v>
          </cell>
          <cell r="K15">
            <v>4</v>
          </cell>
        </row>
        <row r="16">
          <cell r="A16" t="str">
            <v>C111</v>
          </cell>
          <cell r="B16">
            <v>51.488709</v>
          </cell>
          <cell r="C16">
            <v>-0.17050799999999999</v>
          </cell>
          <cell r="D16">
            <v>2015</v>
          </cell>
          <cell r="E16" t="str">
            <v>UK</v>
          </cell>
          <cell r="F16" t="str">
            <v>Wildtype</v>
          </cell>
          <cell r="G16" t="str">
            <v>MAT1-2</v>
          </cell>
          <cell r="H16" t="str">
            <v>Clinical</v>
          </cell>
          <cell r="I16" t="str">
            <v>Wildtype</v>
          </cell>
          <cell r="K16">
            <v>5</v>
          </cell>
        </row>
        <row r="17">
          <cell r="A17" t="str">
            <v>C112</v>
          </cell>
          <cell r="B17">
            <v>51.488709</v>
          </cell>
          <cell r="C17">
            <v>-0.17050799999999999</v>
          </cell>
          <cell r="D17">
            <v>2015</v>
          </cell>
          <cell r="E17" t="str">
            <v>UK</v>
          </cell>
          <cell r="F17" t="str">
            <v>G54W</v>
          </cell>
          <cell r="G17" t="str">
            <v>MAT1-2</v>
          </cell>
          <cell r="H17" t="str">
            <v>Clinical</v>
          </cell>
          <cell r="I17" t="str">
            <v>Wildtype</v>
          </cell>
          <cell r="K17">
            <v>4</v>
          </cell>
        </row>
        <row r="18">
          <cell r="A18" t="str">
            <v>C113</v>
          </cell>
          <cell r="B18">
            <v>51.488709</v>
          </cell>
          <cell r="C18">
            <v>-0.17050799999999999</v>
          </cell>
          <cell r="D18">
            <v>2015</v>
          </cell>
          <cell r="E18" t="str">
            <v>UK</v>
          </cell>
          <cell r="F18" t="str">
            <v>G54W</v>
          </cell>
          <cell r="G18" t="str">
            <v>MAT1-2</v>
          </cell>
          <cell r="H18" t="str">
            <v>Clinical</v>
          </cell>
          <cell r="I18" t="str">
            <v>Wildtype</v>
          </cell>
          <cell r="K18">
            <v>4</v>
          </cell>
        </row>
        <row r="19">
          <cell r="A19" t="str">
            <v>C114</v>
          </cell>
          <cell r="B19">
            <v>51.488709</v>
          </cell>
          <cell r="C19">
            <v>-0.17050799999999999</v>
          </cell>
          <cell r="D19">
            <v>2015</v>
          </cell>
          <cell r="E19" t="str">
            <v>UK</v>
          </cell>
          <cell r="F19" t="str">
            <v>G54W</v>
          </cell>
          <cell r="G19" t="str">
            <v>MAT1-2</v>
          </cell>
          <cell r="H19" t="str">
            <v>Clinical</v>
          </cell>
          <cell r="I19" t="str">
            <v>Wildtype</v>
          </cell>
          <cell r="K19">
            <v>4</v>
          </cell>
        </row>
        <row r="20">
          <cell r="A20" t="str">
            <v>C115</v>
          </cell>
          <cell r="B20">
            <v>51.488709</v>
          </cell>
          <cell r="C20">
            <v>-0.17050799999999999</v>
          </cell>
          <cell r="D20">
            <v>2015</v>
          </cell>
          <cell r="E20" t="str">
            <v>UK</v>
          </cell>
          <cell r="F20" t="str">
            <v>TR34/L98H</v>
          </cell>
          <cell r="G20" t="str">
            <v>MAT1-2</v>
          </cell>
          <cell r="H20" t="str">
            <v>Clinical</v>
          </cell>
          <cell r="I20" t="str">
            <v>Wildtype</v>
          </cell>
          <cell r="K20">
            <v>2</v>
          </cell>
        </row>
        <row r="21">
          <cell r="A21" t="str">
            <v>C116</v>
          </cell>
          <cell r="B21">
            <v>51.488709</v>
          </cell>
          <cell r="C21">
            <v>-0.17050799999999999</v>
          </cell>
          <cell r="D21">
            <v>2015</v>
          </cell>
          <cell r="E21" t="str">
            <v>UK</v>
          </cell>
          <cell r="F21" t="str">
            <v>TR34/L98H</v>
          </cell>
          <cell r="G21" t="str">
            <v>MAT1-1</v>
          </cell>
          <cell r="H21" t="str">
            <v>Clinical</v>
          </cell>
          <cell r="I21" t="str">
            <v>Wildtype</v>
          </cell>
          <cell r="K21">
            <v>2</v>
          </cell>
        </row>
        <row r="22">
          <cell r="A22" t="str">
            <v>C117</v>
          </cell>
          <cell r="B22">
            <v>51.488709</v>
          </cell>
          <cell r="C22">
            <v>-0.17050799999999999</v>
          </cell>
          <cell r="D22">
            <v>2015</v>
          </cell>
          <cell r="E22" t="str">
            <v>UK</v>
          </cell>
          <cell r="F22" t="str">
            <v>G54W</v>
          </cell>
          <cell r="G22" t="str">
            <v>MAT1-2</v>
          </cell>
          <cell r="H22" t="str">
            <v>Clinical</v>
          </cell>
          <cell r="I22" t="str">
            <v>Wildtype</v>
          </cell>
          <cell r="K22">
            <v>4</v>
          </cell>
        </row>
        <row r="23">
          <cell r="A23" t="str">
            <v>C118</v>
          </cell>
          <cell r="B23">
            <v>51.488709</v>
          </cell>
          <cell r="C23">
            <v>-0.17050799999999999</v>
          </cell>
          <cell r="D23">
            <v>2015</v>
          </cell>
          <cell r="E23" t="str">
            <v>UK</v>
          </cell>
          <cell r="F23" t="str">
            <v>Wildtype</v>
          </cell>
          <cell r="G23" t="str">
            <v>MAT1-2</v>
          </cell>
          <cell r="H23" t="str">
            <v>Clinical</v>
          </cell>
          <cell r="I23" t="str">
            <v>Wildtype</v>
          </cell>
          <cell r="K23">
            <v>4</v>
          </cell>
        </row>
        <row r="24">
          <cell r="A24" t="str">
            <v>C119</v>
          </cell>
          <cell r="B24">
            <v>51.488709</v>
          </cell>
          <cell r="C24">
            <v>-0.17050799999999999</v>
          </cell>
          <cell r="D24">
            <v>2015</v>
          </cell>
          <cell r="E24" t="str">
            <v>UK</v>
          </cell>
          <cell r="F24" t="str">
            <v>Wildtype</v>
          </cell>
          <cell r="G24" t="str">
            <v>MAT1-2</v>
          </cell>
          <cell r="H24" t="str">
            <v>Clinical</v>
          </cell>
          <cell r="I24" t="str">
            <v>Wildtype</v>
          </cell>
          <cell r="K24">
            <v>4</v>
          </cell>
        </row>
        <row r="25">
          <cell r="A25" t="str">
            <v>C12</v>
          </cell>
          <cell r="B25">
            <v>28.690636999999999</v>
          </cell>
          <cell r="C25">
            <v>77.209940000000003</v>
          </cell>
          <cell r="D25">
            <v>2009</v>
          </cell>
          <cell r="E25" t="str">
            <v>India</v>
          </cell>
          <cell r="F25" t="str">
            <v>TR34/L98H</v>
          </cell>
          <cell r="G25" t="str">
            <v>MAT1-1</v>
          </cell>
          <cell r="H25" t="str">
            <v>Clinical</v>
          </cell>
          <cell r="I25" t="str">
            <v>F219Y</v>
          </cell>
          <cell r="J25" t="str">
            <v>&gt;16</v>
          </cell>
          <cell r="K25">
            <v>1</v>
          </cell>
        </row>
        <row r="26">
          <cell r="A26" t="str">
            <v>C120</v>
          </cell>
          <cell r="B26">
            <v>51.488709</v>
          </cell>
          <cell r="C26">
            <v>-0.17050799999999999</v>
          </cell>
          <cell r="D26">
            <v>2015</v>
          </cell>
          <cell r="E26" t="str">
            <v>UK</v>
          </cell>
          <cell r="F26" t="str">
            <v>P216L</v>
          </cell>
          <cell r="G26" t="str">
            <v>MAT1-1</v>
          </cell>
          <cell r="H26" t="str">
            <v>Clinical</v>
          </cell>
          <cell r="I26" t="str">
            <v>Wildtype</v>
          </cell>
          <cell r="K26">
            <v>4</v>
          </cell>
        </row>
        <row r="27">
          <cell r="A27" t="str">
            <v>C121</v>
          </cell>
          <cell r="B27">
            <v>51.488709</v>
          </cell>
          <cell r="C27">
            <v>-0.17050799999999999</v>
          </cell>
          <cell r="D27">
            <v>2015</v>
          </cell>
          <cell r="E27" t="str">
            <v>UK</v>
          </cell>
          <cell r="F27" t="str">
            <v>Wildtype</v>
          </cell>
          <cell r="G27" t="str">
            <v>MAT1-2</v>
          </cell>
          <cell r="H27" t="str">
            <v>Clinical</v>
          </cell>
          <cell r="I27" t="str">
            <v>Wildtype</v>
          </cell>
          <cell r="K27">
            <v>1</v>
          </cell>
        </row>
        <row r="28">
          <cell r="A28" t="str">
            <v>C122</v>
          </cell>
          <cell r="B28">
            <v>51.488709</v>
          </cell>
          <cell r="C28">
            <v>-0.17050799999999999</v>
          </cell>
          <cell r="D28">
            <v>2015</v>
          </cell>
          <cell r="E28" t="str">
            <v>UK</v>
          </cell>
          <cell r="F28" t="str">
            <v>G54W</v>
          </cell>
          <cell r="G28" t="str">
            <v>MAT1-1</v>
          </cell>
          <cell r="H28" t="str">
            <v>Clinical</v>
          </cell>
          <cell r="I28" t="str">
            <v>Wildtype</v>
          </cell>
          <cell r="K28">
            <v>5</v>
          </cell>
        </row>
        <row r="29">
          <cell r="A29" t="str">
            <v>C123</v>
          </cell>
          <cell r="B29">
            <v>51.488709</v>
          </cell>
          <cell r="C29">
            <v>-0.17050799999999999</v>
          </cell>
          <cell r="D29">
            <v>2015</v>
          </cell>
          <cell r="E29" t="str">
            <v>UK</v>
          </cell>
          <cell r="F29" t="str">
            <v>TR34/L98H</v>
          </cell>
          <cell r="G29" t="str">
            <v>MAT1-1</v>
          </cell>
          <cell r="H29" t="str">
            <v>Clinical</v>
          </cell>
          <cell r="I29" t="str">
            <v>Wildtype</v>
          </cell>
          <cell r="K29">
            <v>2</v>
          </cell>
        </row>
        <row r="30">
          <cell r="A30" t="str">
            <v>C124</v>
          </cell>
          <cell r="B30">
            <v>51.488709</v>
          </cell>
          <cell r="C30">
            <v>-0.17050799999999999</v>
          </cell>
          <cell r="D30">
            <v>2015</v>
          </cell>
          <cell r="E30" t="str">
            <v>UK</v>
          </cell>
          <cell r="F30" t="str">
            <v>G54W</v>
          </cell>
          <cell r="G30" t="str">
            <v>MAT1-1</v>
          </cell>
          <cell r="H30" t="str">
            <v>Clinical</v>
          </cell>
          <cell r="I30" t="str">
            <v>Wildtype</v>
          </cell>
          <cell r="K30">
            <v>3</v>
          </cell>
        </row>
        <row r="31">
          <cell r="A31" t="str">
            <v>C125</v>
          </cell>
          <cell r="B31">
            <v>51.488709</v>
          </cell>
          <cell r="C31">
            <v>-0.17050799999999999</v>
          </cell>
          <cell r="D31">
            <v>2015</v>
          </cell>
          <cell r="E31" t="str">
            <v>UK</v>
          </cell>
          <cell r="F31" t="str">
            <v>TR34/L98H</v>
          </cell>
          <cell r="G31" t="str">
            <v>MAT1-2</v>
          </cell>
          <cell r="H31" t="str">
            <v>Clinical</v>
          </cell>
          <cell r="I31" t="str">
            <v>Wildtype</v>
          </cell>
          <cell r="K31">
            <v>2</v>
          </cell>
        </row>
        <row r="32">
          <cell r="A32" t="str">
            <v>C126</v>
          </cell>
          <cell r="B32">
            <v>51.488709</v>
          </cell>
          <cell r="C32">
            <v>-0.17050799999999999</v>
          </cell>
          <cell r="D32">
            <v>2015</v>
          </cell>
          <cell r="E32" t="str">
            <v>UK</v>
          </cell>
          <cell r="F32" t="str">
            <v>TR34/L98H</v>
          </cell>
          <cell r="G32" t="str">
            <v>MAT1-2</v>
          </cell>
          <cell r="H32" t="str">
            <v>Clinical</v>
          </cell>
          <cell r="I32" t="str">
            <v>Wildtype</v>
          </cell>
          <cell r="K32">
            <v>3</v>
          </cell>
        </row>
        <row r="33">
          <cell r="A33" t="str">
            <v>C127</v>
          </cell>
          <cell r="B33">
            <v>51.488709</v>
          </cell>
          <cell r="C33">
            <v>-0.17050799999999999</v>
          </cell>
          <cell r="D33">
            <v>2015</v>
          </cell>
          <cell r="E33" t="str">
            <v>UK</v>
          </cell>
          <cell r="F33" t="str">
            <v>P216L</v>
          </cell>
          <cell r="G33" t="str">
            <v>MAT1-2</v>
          </cell>
          <cell r="H33" t="str">
            <v>Clinical</v>
          </cell>
          <cell r="I33" t="str">
            <v>Wildtype</v>
          </cell>
          <cell r="K33">
            <v>4</v>
          </cell>
        </row>
        <row r="34">
          <cell r="A34" t="str">
            <v>C128</v>
          </cell>
          <cell r="B34">
            <v>53.800755000000002</v>
          </cell>
          <cell r="C34">
            <v>-1.549077</v>
          </cell>
          <cell r="D34">
            <v>2009</v>
          </cell>
          <cell r="E34" t="str">
            <v>UK</v>
          </cell>
          <cell r="F34" t="str">
            <v>Wildtype</v>
          </cell>
          <cell r="G34" t="str">
            <v>MAT1-2</v>
          </cell>
          <cell r="H34" t="str">
            <v>Clinical</v>
          </cell>
          <cell r="I34" t="str">
            <v>Wildtype</v>
          </cell>
          <cell r="J34">
            <v>0.5</v>
          </cell>
          <cell r="K34">
            <v>4</v>
          </cell>
        </row>
        <row r="35">
          <cell r="A35" t="str">
            <v>C129</v>
          </cell>
          <cell r="B35">
            <v>53.800755000000002</v>
          </cell>
          <cell r="C35">
            <v>-1.549077</v>
          </cell>
          <cell r="D35">
            <v>2009</v>
          </cell>
          <cell r="E35" t="str">
            <v>UK</v>
          </cell>
          <cell r="F35" t="str">
            <v>Wildtype</v>
          </cell>
          <cell r="G35" t="str">
            <v>MAT1-2</v>
          </cell>
          <cell r="H35" t="str">
            <v>Clinical</v>
          </cell>
          <cell r="I35" t="str">
            <v>Wildtype</v>
          </cell>
          <cell r="J35">
            <v>1</v>
          </cell>
          <cell r="K35">
            <v>4</v>
          </cell>
        </row>
        <row r="36">
          <cell r="A36" t="str">
            <v>C13</v>
          </cell>
          <cell r="B36">
            <v>28.635708999999999</v>
          </cell>
          <cell r="C36">
            <v>77.240095999999994</v>
          </cell>
          <cell r="D36">
            <v>2011</v>
          </cell>
          <cell r="E36" t="str">
            <v>India</v>
          </cell>
          <cell r="F36" t="str">
            <v>TR34/L98H</v>
          </cell>
          <cell r="G36" t="str">
            <v>MAT1-2</v>
          </cell>
          <cell r="H36" t="str">
            <v>Clinical</v>
          </cell>
          <cell r="I36" t="str">
            <v>F219Y</v>
          </cell>
          <cell r="J36" t="str">
            <v>&gt;16</v>
          </cell>
          <cell r="K36">
            <v>4</v>
          </cell>
        </row>
        <row r="37">
          <cell r="A37" t="str">
            <v>C130</v>
          </cell>
          <cell r="B37">
            <v>53.800755000000002</v>
          </cell>
          <cell r="C37">
            <v>-1.549077</v>
          </cell>
          <cell r="D37">
            <v>2009</v>
          </cell>
          <cell r="E37" t="str">
            <v>UK</v>
          </cell>
          <cell r="F37" t="str">
            <v>Wildtype</v>
          </cell>
          <cell r="G37" t="str">
            <v>MAT1-2</v>
          </cell>
          <cell r="H37" t="str">
            <v>Clinical</v>
          </cell>
          <cell r="I37" t="str">
            <v>Wildtype</v>
          </cell>
          <cell r="J37">
            <v>2</v>
          </cell>
          <cell r="K37">
            <v>4</v>
          </cell>
        </row>
        <row r="38">
          <cell r="A38" t="str">
            <v>C131</v>
          </cell>
          <cell r="B38">
            <v>53.800755000000002</v>
          </cell>
          <cell r="C38">
            <v>-1.549077</v>
          </cell>
          <cell r="D38">
            <v>2009</v>
          </cell>
          <cell r="E38" t="str">
            <v>UK</v>
          </cell>
          <cell r="F38" t="str">
            <v>TR34/L98H</v>
          </cell>
          <cell r="G38" t="str">
            <v>MAT1-1</v>
          </cell>
          <cell r="H38" t="str">
            <v>Clinical</v>
          </cell>
          <cell r="I38" t="str">
            <v>Wildtype</v>
          </cell>
          <cell r="J38" t="str">
            <v>&gt;32</v>
          </cell>
          <cell r="K38">
            <v>3</v>
          </cell>
        </row>
        <row r="39">
          <cell r="A39" t="str">
            <v>C132</v>
          </cell>
          <cell r="B39">
            <v>53.800755000000002</v>
          </cell>
          <cell r="C39">
            <v>-1.549077</v>
          </cell>
          <cell r="D39">
            <v>2009</v>
          </cell>
          <cell r="E39" t="str">
            <v>UK</v>
          </cell>
          <cell r="F39" t="str">
            <v>TR34/L98H</v>
          </cell>
          <cell r="G39" t="str">
            <v>MAT1-1</v>
          </cell>
          <cell r="H39" t="str">
            <v>Clinical</v>
          </cell>
          <cell r="I39" t="str">
            <v>Wildtype</v>
          </cell>
          <cell r="J39">
            <v>16</v>
          </cell>
          <cell r="K39">
            <v>3</v>
          </cell>
        </row>
        <row r="40">
          <cell r="A40" t="str">
            <v>C133</v>
          </cell>
          <cell r="B40">
            <v>53.800755000000002</v>
          </cell>
          <cell r="C40">
            <v>-1.549077</v>
          </cell>
          <cell r="D40">
            <v>2009</v>
          </cell>
          <cell r="E40" t="str">
            <v>UK</v>
          </cell>
          <cell r="F40" t="str">
            <v>TR34/L98H</v>
          </cell>
          <cell r="G40" t="str">
            <v>MAT1-1</v>
          </cell>
          <cell r="H40" t="str">
            <v>Clinical</v>
          </cell>
          <cell r="I40" t="str">
            <v>Wildtype</v>
          </cell>
          <cell r="J40">
            <v>32</v>
          </cell>
          <cell r="K40">
            <v>3</v>
          </cell>
        </row>
        <row r="41">
          <cell r="A41" t="str">
            <v>C134</v>
          </cell>
          <cell r="B41">
            <v>53.800755000000002</v>
          </cell>
          <cell r="C41">
            <v>-1.549077</v>
          </cell>
          <cell r="D41">
            <v>2009</v>
          </cell>
          <cell r="E41" t="str">
            <v>UK</v>
          </cell>
          <cell r="F41" t="str">
            <v>Wildtype</v>
          </cell>
          <cell r="G41" t="str">
            <v>MAT1-2</v>
          </cell>
          <cell r="H41" t="str">
            <v>Clinical</v>
          </cell>
          <cell r="I41" t="str">
            <v>Wildtype</v>
          </cell>
          <cell r="K41">
            <v>4</v>
          </cell>
        </row>
        <row r="42">
          <cell r="A42" t="str">
            <v>C135</v>
          </cell>
          <cell r="B42">
            <v>53.800755000000002</v>
          </cell>
          <cell r="C42">
            <v>-1.549077</v>
          </cell>
          <cell r="D42">
            <v>2009</v>
          </cell>
          <cell r="E42" t="str">
            <v>UK</v>
          </cell>
          <cell r="F42" t="str">
            <v>Wildtype</v>
          </cell>
          <cell r="G42" t="str">
            <v>MAT1-2</v>
          </cell>
          <cell r="H42" t="str">
            <v>Clinical</v>
          </cell>
          <cell r="I42" t="str">
            <v>Wildtype</v>
          </cell>
          <cell r="K42">
            <v>4</v>
          </cell>
        </row>
        <row r="43">
          <cell r="A43" t="str">
            <v>C136</v>
          </cell>
          <cell r="B43">
            <v>53.800755000000002</v>
          </cell>
          <cell r="C43">
            <v>-1.549077</v>
          </cell>
          <cell r="D43">
            <v>2009</v>
          </cell>
          <cell r="E43" t="str">
            <v>UK</v>
          </cell>
          <cell r="F43" t="str">
            <v>Wildtype</v>
          </cell>
          <cell r="G43" t="str">
            <v>MAT1-2</v>
          </cell>
          <cell r="H43" t="str">
            <v>Clinical</v>
          </cell>
          <cell r="I43" t="str">
            <v>Wildtype</v>
          </cell>
          <cell r="K43">
            <v>4</v>
          </cell>
        </row>
        <row r="44">
          <cell r="A44" t="str">
            <v>C137</v>
          </cell>
          <cell r="B44">
            <v>51.486555000000003</v>
          </cell>
          <cell r="C44">
            <v>-0.21948200000000001</v>
          </cell>
          <cell r="D44">
            <v>2016</v>
          </cell>
          <cell r="E44" t="str">
            <v>UK</v>
          </cell>
          <cell r="F44" t="str">
            <v>TR34/L98H/T289A/I364V/G448S</v>
          </cell>
          <cell r="G44" t="str">
            <v>MAT1-2</v>
          </cell>
          <cell r="H44" t="str">
            <v>Clinical</v>
          </cell>
          <cell r="I44" t="str">
            <v>F219Y</v>
          </cell>
          <cell r="J44">
            <v>16</v>
          </cell>
          <cell r="K44">
            <v>3</v>
          </cell>
        </row>
        <row r="45">
          <cell r="A45" t="str">
            <v>C138</v>
          </cell>
          <cell r="B45">
            <v>51.486555000000003</v>
          </cell>
          <cell r="C45">
            <v>-0.21948200000000001</v>
          </cell>
          <cell r="D45">
            <v>2016</v>
          </cell>
          <cell r="E45" t="str">
            <v>UK</v>
          </cell>
          <cell r="F45" t="str">
            <v>TR34/L98H/T289A/I364V/G448S</v>
          </cell>
          <cell r="G45" t="str">
            <v>MAT1-2</v>
          </cell>
          <cell r="H45" t="str">
            <v>Clinical</v>
          </cell>
          <cell r="I45" t="str">
            <v>F219Y</v>
          </cell>
          <cell r="J45">
            <v>16</v>
          </cell>
          <cell r="K45">
            <v>3</v>
          </cell>
        </row>
        <row r="46">
          <cell r="A46" t="str">
            <v>C139</v>
          </cell>
          <cell r="B46">
            <v>51.486555000000003</v>
          </cell>
          <cell r="C46">
            <v>-0.21948200000000001</v>
          </cell>
          <cell r="D46">
            <v>2016</v>
          </cell>
          <cell r="E46" t="str">
            <v>UK</v>
          </cell>
          <cell r="F46" t="str">
            <v>TR34/L98H/T289A/I364V/G448S</v>
          </cell>
          <cell r="G46" t="str">
            <v>MAT1-2</v>
          </cell>
          <cell r="H46" t="str">
            <v>Clinical</v>
          </cell>
          <cell r="I46" t="str">
            <v>F219Y</v>
          </cell>
          <cell r="J46">
            <v>16</v>
          </cell>
          <cell r="K46">
            <v>1</v>
          </cell>
        </row>
        <row r="47">
          <cell r="A47" t="str">
            <v>C14</v>
          </cell>
          <cell r="B47">
            <v>28.690636999999999</v>
          </cell>
          <cell r="C47">
            <v>77.209940000000003</v>
          </cell>
          <cell r="D47">
            <v>2012</v>
          </cell>
          <cell r="E47" t="str">
            <v>India</v>
          </cell>
          <cell r="F47" t="str">
            <v>TR34/L98H</v>
          </cell>
          <cell r="G47" t="str">
            <v>MAT1-1</v>
          </cell>
          <cell r="H47" t="str">
            <v>Clinical</v>
          </cell>
          <cell r="I47" t="str">
            <v>F219Y</v>
          </cell>
          <cell r="J47" t="str">
            <v>&gt;16</v>
          </cell>
          <cell r="K47">
            <v>3</v>
          </cell>
        </row>
        <row r="48">
          <cell r="A48" t="str">
            <v>C140</v>
          </cell>
          <cell r="B48">
            <v>51.486555000000003</v>
          </cell>
          <cell r="C48">
            <v>-0.21948200000000001</v>
          </cell>
          <cell r="D48">
            <v>2016</v>
          </cell>
          <cell r="E48" t="str">
            <v>UK</v>
          </cell>
          <cell r="F48" t="str">
            <v>TR34/L98H/T289A/I364V/G448S</v>
          </cell>
          <cell r="G48" t="str">
            <v>MAT1-2</v>
          </cell>
          <cell r="H48" t="str">
            <v>Clinical</v>
          </cell>
          <cell r="I48" t="str">
            <v>F219Y</v>
          </cell>
          <cell r="J48">
            <v>16</v>
          </cell>
          <cell r="K48">
            <v>3</v>
          </cell>
        </row>
        <row r="49">
          <cell r="A49" t="str">
            <v>C141</v>
          </cell>
          <cell r="B49">
            <v>51.486555000000003</v>
          </cell>
          <cell r="C49">
            <v>-0.21948200000000001</v>
          </cell>
          <cell r="D49">
            <v>2016</v>
          </cell>
          <cell r="E49" t="str">
            <v>UK</v>
          </cell>
          <cell r="F49" t="str">
            <v>TR34/L98H</v>
          </cell>
          <cell r="G49" t="str">
            <v>MAT1-2</v>
          </cell>
          <cell r="H49" t="str">
            <v>Clinical</v>
          </cell>
          <cell r="I49" t="str">
            <v>Wildtype</v>
          </cell>
          <cell r="J49" t="str">
            <v>&gt;16</v>
          </cell>
          <cell r="K49">
            <v>3</v>
          </cell>
        </row>
        <row r="50">
          <cell r="A50" t="str">
            <v>C142</v>
          </cell>
          <cell r="B50">
            <v>51.486555000000003</v>
          </cell>
          <cell r="C50">
            <v>-0.21948200000000001</v>
          </cell>
          <cell r="D50">
            <v>2016</v>
          </cell>
          <cell r="E50" t="str">
            <v>UK</v>
          </cell>
          <cell r="F50" t="str">
            <v>TR34/L98H</v>
          </cell>
          <cell r="G50" t="str">
            <v>MAT1-2</v>
          </cell>
          <cell r="H50" t="str">
            <v>Clinical</v>
          </cell>
          <cell r="I50" t="str">
            <v>Wildtype</v>
          </cell>
          <cell r="J50" t="str">
            <v>&gt;16</v>
          </cell>
          <cell r="K50">
            <v>3</v>
          </cell>
        </row>
        <row r="51">
          <cell r="A51" t="str">
            <v>C143</v>
          </cell>
          <cell r="B51">
            <v>51.486555000000003</v>
          </cell>
          <cell r="C51">
            <v>-0.21948200000000001</v>
          </cell>
          <cell r="D51">
            <v>2017</v>
          </cell>
          <cell r="E51" t="str">
            <v>UK</v>
          </cell>
          <cell r="F51" t="str">
            <v>TR34/L98H</v>
          </cell>
          <cell r="G51" t="str">
            <v>MAT1-1</v>
          </cell>
          <cell r="H51" t="str">
            <v>Clinical</v>
          </cell>
          <cell r="I51" t="str">
            <v>Wildtype</v>
          </cell>
          <cell r="K51">
            <v>2</v>
          </cell>
        </row>
        <row r="52">
          <cell r="A52" t="str">
            <v>C144</v>
          </cell>
          <cell r="B52">
            <v>51.486555000000003</v>
          </cell>
          <cell r="C52">
            <v>-0.21948200000000001</v>
          </cell>
          <cell r="D52">
            <v>2015</v>
          </cell>
          <cell r="E52" t="str">
            <v>UK</v>
          </cell>
          <cell r="F52" t="str">
            <v>Wildtype</v>
          </cell>
          <cell r="G52" t="str">
            <v>MAT1-1</v>
          </cell>
          <cell r="H52" t="str">
            <v>Clinical</v>
          </cell>
          <cell r="I52" t="str">
            <v>Wildtype</v>
          </cell>
          <cell r="K52">
            <v>3</v>
          </cell>
        </row>
        <row r="53">
          <cell r="A53" t="str">
            <v>C145</v>
          </cell>
          <cell r="B53">
            <v>51.486555000000003</v>
          </cell>
          <cell r="C53">
            <v>-0.21948200000000001</v>
          </cell>
          <cell r="D53">
            <v>2015</v>
          </cell>
          <cell r="E53" t="str">
            <v>UK</v>
          </cell>
          <cell r="F53" t="str">
            <v>G54W</v>
          </cell>
          <cell r="G53" t="str">
            <v>MAT1-1</v>
          </cell>
          <cell r="H53" t="str">
            <v>Clinical</v>
          </cell>
          <cell r="I53" t="str">
            <v>Wildtype</v>
          </cell>
          <cell r="K53">
            <v>3</v>
          </cell>
        </row>
        <row r="54">
          <cell r="A54" t="str">
            <v>C146</v>
          </cell>
          <cell r="B54">
            <v>51.488709</v>
          </cell>
          <cell r="C54">
            <v>-0.17050799999999999</v>
          </cell>
          <cell r="D54">
            <v>2015</v>
          </cell>
          <cell r="E54" t="str">
            <v>UK</v>
          </cell>
          <cell r="F54" t="str">
            <v>Wildtype</v>
          </cell>
          <cell r="G54" t="str">
            <v>MAT1-2</v>
          </cell>
          <cell r="H54" t="str">
            <v>Clinical</v>
          </cell>
          <cell r="I54" t="str">
            <v>Wildtype</v>
          </cell>
          <cell r="K54">
            <v>4</v>
          </cell>
        </row>
        <row r="55">
          <cell r="A55" t="str">
            <v>C147</v>
          </cell>
          <cell r="B55">
            <v>51.488709</v>
          </cell>
          <cell r="C55">
            <v>-0.17050799999999999</v>
          </cell>
          <cell r="D55">
            <v>2014</v>
          </cell>
          <cell r="E55" t="str">
            <v>UK</v>
          </cell>
          <cell r="F55" t="str">
            <v>Wildtype</v>
          </cell>
          <cell r="G55" t="str">
            <v>MAT1-1</v>
          </cell>
          <cell r="H55" t="str">
            <v>Clinical</v>
          </cell>
          <cell r="I55" t="str">
            <v>Wildtype</v>
          </cell>
          <cell r="K55">
            <v>5</v>
          </cell>
        </row>
        <row r="56">
          <cell r="A56" t="str">
            <v>C148</v>
          </cell>
          <cell r="B56">
            <v>51.488709</v>
          </cell>
          <cell r="C56">
            <v>-0.17050799999999999</v>
          </cell>
          <cell r="D56">
            <v>2015</v>
          </cell>
          <cell r="E56" t="str">
            <v>UK</v>
          </cell>
          <cell r="F56" t="str">
            <v>Wildtype</v>
          </cell>
          <cell r="G56" t="str">
            <v>MAT1-2</v>
          </cell>
          <cell r="H56" t="str">
            <v>Clinical</v>
          </cell>
          <cell r="I56" t="str">
            <v>Wildtype</v>
          </cell>
          <cell r="K56">
            <v>1</v>
          </cell>
        </row>
        <row r="57">
          <cell r="A57" t="str">
            <v>C149</v>
          </cell>
          <cell r="B57">
            <v>51.488709</v>
          </cell>
          <cell r="C57">
            <v>-0.17050799999999999</v>
          </cell>
          <cell r="D57">
            <v>2015</v>
          </cell>
          <cell r="E57" t="str">
            <v>UK</v>
          </cell>
          <cell r="F57" t="str">
            <v>Wildtype</v>
          </cell>
          <cell r="G57" t="str">
            <v>MAT1-1</v>
          </cell>
          <cell r="H57" t="str">
            <v>Clinical</v>
          </cell>
          <cell r="I57" t="str">
            <v>Wildtype</v>
          </cell>
          <cell r="K57">
            <v>4</v>
          </cell>
        </row>
        <row r="58">
          <cell r="A58" t="str">
            <v>C15</v>
          </cell>
          <cell r="B58">
            <v>36.594681999999999</v>
          </cell>
          <cell r="C58">
            <v>136.625573</v>
          </cell>
          <cell r="D58">
            <v>2009</v>
          </cell>
          <cell r="E58" t="str">
            <v>Japan</v>
          </cell>
          <cell r="F58" t="str">
            <v>Wildtype</v>
          </cell>
          <cell r="G58" t="str">
            <v>MAT1-1</v>
          </cell>
          <cell r="H58" t="str">
            <v>Clinical</v>
          </cell>
          <cell r="I58" t="str">
            <v>F219Y</v>
          </cell>
          <cell r="K58">
            <v>4</v>
          </cell>
        </row>
        <row r="59">
          <cell r="A59" t="str">
            <v>C150</v>
          </cell>
          <cell r="B59">
            <v>51.488709</v>
          </cell>
          <cell r="C59">
            <v>-0.17050799999999999</v>
          </cell>
          <cell r="D59">
            <v>2016</v>
          </cell>
          <cell r="E59" t="str">
            <v>UK</v>
          </cell>
          <cell r="F59" t="str">
            <v>Wildtype</v>
          </cell>
          <cell r="G59" t="str">
            <v>MAT1-1</v>
          </cell>
          <cell r="H59" t="str">
            <v>Clinical</v>
          </cell>
          <cell r="I59" t="str">
            <v>Wildtype</v>
          </cell>
          <cell r="K59">
            <v>5</v>
          </cell>
        </row>
        <row r="60">
          <cell r="A60" t="str">
            <v>C151</v>
          </cell>
          <cell r="B60">
            <v>51.488709</v>
          </cell>
          <cell r="C60">
            <v>-0.17050799999999999</v>
          </cell>
          <cell r="D60">
            <v>2015</v>
          </cell>
          <cell r="E60" t="str">
            <v>UK</v>
          </cell>
          <cell r="F60" t="str">
            <v>Wildtype</v>
          </cell>
          <cell r="G60" t="str">
            <v>MAT1-2</v>
          </cell>
          <cell r="H60" t="str">
            <v>Clinical</v>
          </cell>
          <cell r="I60" t="str">
            <v>Wildtype</v>
          </cell>
          <cell r="K60">
            <v>4</v>
          </cell>
        </row>
        <row r="61">
          <cell r="A61" t="str">
            <v>C152</v>
          </cell>
          <cell r="B61">
            <v>51.488709</v>
          </cell>
          <cell r="C61">
            <v>-0.17050799999999999</v>
          </cell>
          <cell r="D61">
            <v>2015</v>
          </cell>
          <cell r="E61" t="str">
            <v>UK</v>
          </cell>
          <cell r="F61" t="str">
            <v>Wildtype</v>
          </cell>
          <cell r="G61" t="str">
            <v>MAT1-2</v>
          </cell>
          <cell r="H61" t="str">
            <v>Clinical</v>
          </cell>
          <cell r="I61" t="str">
            <v>Wildtype</v>
          </cell>
          <cell r="K61">
            <v>4</v>
          </cell>
        </row>
        <row r="62">
          <cell r="A62" t="str">
            <v>C153</v>
          </cell>
          <cell r="B62">
            <v>51.488709</v>
          </cell>
          <cell r="C62">
            <v>-0.17050799999999999</v>
          </cell>
          <cell r="D62">
            <v>2015</v>
          </cell>
          <cell r="E62" t="str">
            <v>UK</v>
          </cell>
          <cell r="F62" t="str">
            <v>TR34/L98H</v>
          </cell>
          <cell r="G62" t="str">
            <v>MAT1-2</v>
          </cell>
          <cell r="H62" t="str">
            <v>Clinical</v>
          </cell>
          <cell r="I62" t="str">
            <v>Wildtype</v>
          </cell>
          <cell r="K62">
            <v>3</v>
          </cell>
        </row>
        <row r="63">
          <cell r="A63" t="str">
            <v>C154</v>
          </cell>
          <cell r="B63">
            <v>51.488709</v>
          </cell>
          <cell r="C63">
            <v>-0.17050799999999999</v>
          </cell>
          <cell r="D63">
            <v>2016</v>
          </cell>
          <cell r="E63" t="str">
            <v>UK</v>
          </cell>
          <cell r="F63" t="str">
            <v>Wildtype</v>
          </cell>
          <cell r="G63" t="str">
            <v>MAT1-2</v>
          </cell>
          <cell r="H63" t="str">
            <v>Clinical</v>
          </cell>
          <cell r="I63" t="str">
            <v>Wildtype</v>
          </cell>
          <cell r="K63">
            <v>5</v>
          </cell>
        </row>
        <row r="64">
          <cell r="A64" t="str">
            <v>C155</v>
          </cell>
          <cell r="B64">
            <v>51.488709</v>
          </cell>
          <cell r="C64">
            <v>-0.17050799999999999</v>
          </cell>
          <cell r="D64">
            <v>2015</v>
          </cell>
          <cell r="E64" t="str">
            <v>UK</v>
          </cell>
          <cell r="F64" t="str">
            <v>Wildtype</v>
          </cell>
          <cell r="G64" t="str">
            <v>MAT1-1</v>
          </cell>
          <cell r="H64" t="str">
            <v>Clinical</v>
          </cell>
          <cell r="I64" t="str">
            <v>Wildtype</v>
          </cell>
          <cell r="K64">
            <v>4</v>
          </cell>
        </row>
        <row r="65">
          <cell r="A65" t="str">
            <v>C156</v>
          </cell>
          <cell r="B65">
            <v>51.488709</v>
          </cell>
          <cell r="C65">
            <v>-0.17050799999999999</v>
          </cell>
          <cell r="D65">
            <v>2015</v>
          </cell>
          <cell r="E65" t="str">
            <v>UK</v>
          </cell>
          <cell r="F65" t="str">
            <v>Wildtype</v>
          </cell>
          <cell r="G65" t="str">
            <v>MAT1-1</v>
          </cell>
          <cell r="H65" t="str">
            <v>Clinical</v>
          </cell>
          <cell r="I65" t="str">
            <v>Wildtype</v>
          </cell>
          <cell r="K65">
            <v>4</v>
          </cell>
        </row>
        <row r="66">
          <cell r="A66" t="str">
            <v>C157</v>
          </cell>
          <cell r="B66">
            <v>51.488709</v>
          </cell>
          <cell r="C66">
            <v>-0.17050799999999999</v>
          </cell>
          <cell r="D66">
            <v>2016</v>
          </cell>
          <cell r="E66" t="str">
            <v>UK</v>
          </cell>
          <cell r="F66" t="str">
            <v>Wildtype</v>
          </cell>
          <cell r="G66" t="str">
            <v>MAT1-2</v>
          </cell>
          <cell r="H66" t="str">
            <v>Clinical</v>
          </cell>
          <cell r="I66" t="str">
            <v>Wildtype</v>
          </cell>
          <cell r="K66">
            <v>4</v>
          </cell>
        </row>
        <row r="67">
          <cell r="A67" t="str">
            <v>C158</v>
          </cell>
          <cell r="B67">
            <v>51.488709</v>
          </cell>
          <cell r="C67">
            <v>-0.17050799999999999</v>
          </cell>
          <cell r="D67">
            <v>2016</v>
          </cell>
          <cell r="E67" t="str">
            <v>UK</v>
          </cell>
          <cell r="F67" t="str">
            <v>Wildtype</v>
          </cell>
          <cell r="G67" t="str">
            <v>MAT1-1</v>
          </cell>
          <cell r="H67" t="str">
            <v>Clinical</v>
          </cell>
          <cell r="I67" t="str">
            <v>Wildtype</v>
          </cell>
          <cell r="K67">
            <v>5</v>
          </cell>
        </row>
        <row r="68">
          <cell r="A68" t="str">
            <v>C159</v>
          </cell>
          <cell r="B68">
            <v>51.488709</v>
          </cell>
          <cell r="C68">
            <v>-0.17050799999999999</v>
          </cell>
          <cell r="D68">
            <v>2015</v>
          </cell>
          <cell r="E68" t="str">
            <v>UK</v>
          </cell>
          <cell r="F68" t="str">
            <v>Wildtype</v>
          </cell>
          <cell r="G68" t="str">
            <v>MAT1-1</v>
          </cell>
          <cell r="H68" t="str">
            <v>Clinical</v>
          </cell>
          <cell r="I68" t="str">
            <v>Wildtype</v>
          </cell>
          <cell r="K68">
            <v>3</v>
          </cell>
        </row>
        <row r="69">
          <cell r="A69" t="str">
            <v>C16</v>
          </cell>
          <cell r="B69">
            <v>35.605057000000002</v>
          </cell>
          <cell r="C69">
            <v>140.12330600000001</v>
          </cell>
          <cell r="D69">
            <v>2009</v>
          </cell>
          <cell r="E69" t="str">
            <v>Japan</v>
          </cell>
          <cell r="F69" t="str">
            <v>Wildtype</v>
          </cell>
          <cell r="G69" t="str">
            <v>MAT1-2</v>
          </cell>
          <cell r="H69" t="str">
            <v>Clinical</v>
          </cell>
          <cell r="I69" t="str">
            <v>Wildtype</v>
          </cell>
          <cell r="K69">
            <v>4</v>
          </cell>
        </row>
        <row r="70">
          <cell r="A70" t="str">
            <v>C160</v>
          </cell>
          <cell r="B70">
            <v>51.488709</v>
          </cell>
          <cell r="C70">
            <v>-0.17050799999999999</v>
          </cell>
          <cell r="D70">
            <v>2015</v>
          </cell>
          <cell r="E70" t="str">
            <v>UK</v>
          </cell>
          <cell r="F70" t="str">
            <v>Wildtype</v>
          </cell>
          <cell r="G70" t="str">
            <v>MAT1-2</v>
          </cell>
          <cell r="H70" t="str">
            <v>Clinical</v>
          </cell>
          <cell r="I70" t="str">
            <v>Wildtype</v>
          </cell>
          <cell r="K70">
            <v>4</v>
          </cell>
        </row>
        <row r="71">
          <cell r="A71" t="str">
            <v>C161</v>
          </cell>
          <cell r="B71">
            <v>51.488709</v>
          </cell>
          <cell r="C71">
            <v>-0.17050799999999999</v>
          </cell>
          <cell r="D71">
            <v>2015</v>
          </cell>
          <cell r="E71" t="str">
            <v>UK</v>
          </cell>
          <cell r="F71" t="str">
            <v>Wildtype</v>
          </cell>
          <cell r="G71" t="str">
            <v>MAT1-1</v>
          </cell>
          <cell r="H71" t="str">
            <v>Clinical</v>
          </cell>
          <cell r="I71" t="str">
            <v>Wildtype</v>
          </cell>
          <cell r="K71">
            <v>5</v>
          </cell>
        </row>
        <row r="72">
          <cell r="A72" t="str">
            <v>C162</v>
          </cell>
          <cell r="B72">
            <v>51.488709</v>
          </cell>
          <cell r="C72">
            <v>-0.17050799999999999</v>
          </cell>
          <cell r="D72">
            <v>2015</v>
          </cell>
          <cell r="E72" t="str">
            <v>UK</v>
          </cell>
          <cell r="F72" t="str">
            <v>Wildtype</v>
          </cell>
          <cell r="G72" t="str">
            <v>MAT1-2</v>
          </cell>
          <cell r="H72" t="str">
            <v>Clinical</v>
          </cell>
          <cell r="I72" t="str">
            <v>Wildtype</v>
          </cell>
          <cell r="K72">
            <v>4</v>
          </cell>
        </row>
        <row r="73">
          <cell r="A73" t="str">
            <v>C163</v>
          </cell>
          <cell r="B73">
            <v>51.488709</v>
          </cell>
          <cell r="C73">
            <v>-0.17050799999999999</v>
          </cell>
          <cell r="D73">
            <v>2015</v>
          </cell>
          <cell r="E73" t="str">
            <v>UK</v>
          </cell>
          <cell r="F73" t="str">
            <v>Wildtype</v>
          </cell>
          <cell r="G73" t="str">
            <v>MAT1-1</v>
          </cell>
          <cell r="H73" t="str">
            <v>Clinical</v>
          </cell>
          <cell r="I73" t="str">
            <v>Wildtype</v>
          </cell>
          <cell r="K73">
            <v>5</v>
          </cell>
        </row>
        <row r="74">
          <cell r="A74" t="str">
            <v>C164</v>
          </cell>
          <cell r="B74">
            <v>51.488709</v>
          </cell>
          <cell r="C74">
            <v>-0.17050799999999999</v>
          </cell>
          <cell r="D74">
            <v>2015</v>
          </cell>
          <cell r="E74" t="str">
            <v>UK</v>
          </cell>
          <cell r="F74" t="str">
            <v>Wildtype</v>
          </cell>
          <cell r="G74" t="str">
            <v>MAT1-2</v>
          </cell>
          <cell r="H74" t="str">
            <v>Clinical</v>
          </cell>
          <cell r="I74" t="str">
            <v>Wildtype</v>
          </cell>
          <cell r="K74">
            <v>4</v>
          </cell>
        </row>
        <row r="75">
          <cell r="A75" t="str">
            <v>C165</v>
          </cell>
          <cell r="B75">
            <v>51.488709</v>
          </cell>
          <cell r="C75">
            <v>-0.17050799999999999</v>
          </cell>
          <cell r="D75">
            <v>2015</v>
          </cell>
          <cell r="E75" t="str">
            <v>UK</v>
          </cell>
          <cell r="F75" t="str">
            <v>Wildtype</v>
          </cell>
          <cell r="G75" t="str">
            <v>MAT1-2</v>
          </cell>
          <cell r="H75" t="str">
            <v>Clinical</v>
          </cell>
          <cell r="I75" t="str">
            <v>Wildtype</v>
          </cell>
          <cell r="K75">
            <v>4</v>
          </cell>
        </row>
        <row r="76">
          <cell r="A76" t="str">
            <v>C166</v>
          </cell>
          <cell r="B76">
            <v>51.488709</v>
          </cell>
          <cell r="C76">
            <v>-0.17050799999999999</v>
          </cell>
          <cell r="D76">
            <v>2015</v>
          </cell>
          <cell r="E76" t="str">
            <v>UK</v>
          </cell>
          <cell r="F76" t="str">
            <v>Wildtype</v>
          </cell>
          <cell r="G76" t="str">
            <v>MAT1-2</v>
          </cell>
          <cell r="H76" t="str">
            <v>Clinical</v>
          </cell>
          <cell r="I76" t="str">
            <v>Wildtype</v>
          </cell>
          <cell r="K76">
            <v>4</v>
          </cell>
        </row>
        <row r="77">
          <cell r="A77" t="str">
            <v>C167</v>
          </cell>
          <cell r="B77">
            <v>51.488709</v>
          </cell>
          <cell r="C77">
            <v>-0.17050799999999999</v>
          </cell>
          <cell r="D77">
            <v>2015</v>
          </cell>
          <cell r="E77" t="str">
            <v>UK</v>
          </cell>
          <cell r="F77" t="str">
            <v>Wildtype</v>
          </cell>
          <cell r="G77" t="str">
            <v>MAT1-1</v>
          </cell>
          <cell r="H77" t="str">
            <v>Clinical</v>
          </cell>
          <cell r="I77" t="str">
            <v>Wildtype</v>
          </cell>
          <cell r="K77">
            <v>4</v>
          </cell>
        </row>
        <row r="78">
          <cell r="A78" t="str">
            <v>C168</v>
          </cell>
          <cell r="B78">
            <v>51.488709</v>
          </cell>
          <cell r="C78">
            <v>-0.17050799999999999</v>
          </cell>
          <cell r="D78">
            <v>2016</v>
          </cell>
          <cell r="E78" t="str">
            <v>UK</v>
          </cell>
          <cell r="F78" t="str">
            <v>Wildtype</v>
          </cell>
          <cell r="G78" t="str">
            <v>MAT1-1</v>
          </cell>
          <cell r="H78" t="str">
            <v>Clinical</v>
          </cell>
          <cell r="I78" t="str">
            <v>Wildtype</v>
          </cell>
          <cell r="K78">
            <v>3</v>
          </cell>
        </row>
        <row r="79">
          <cell r="A79" t="str">
            <v>C169</v>
          </cell>
          <cell r="B79">
            <v>51.488709</v>
          </cell>
          <cell r="C79">
            <v>-0.17050799999999999</v>
          </cell>
          <cell r="D79">
            <v>2014</v>
          </cell>
          <cell r="E79" t="str">
            <v>UK</v>
          </cell>
          <cell r="F79" t="str">
            <v>Wildtype</v>
          </cell>
          <cell r="G79" t="str">
            <v>MAT1-2</v>
          </cell>
          <cell r="H79" t="str">
            <v>Clinical</v>
          </cell>
          <cell r="I79" t="str">
            <v>Wildtype</v>
          </cell>
          <cell r="K79">
            <v>1</v>
          </cell>
        </row>
        <row r="80">
          <cell r="A80" t="str">
            <v>C17</v>
          </cell>
          <cell r="B80">
            <v>35.605057000000002</v>
          </cell>
          <cell r="C80">
            <v>140.12330600000001</v>
          </cell>
          <cell r="D80">
            <v>2007</v>
          </cell>
          <cell r="E80" t="str">
            <v>Japan</v>
          </cell>
          <cell r="F80" t="str">
            <v>Wildtype</v>
          </cell>
          <cell r="G80" t="str">
            <v>MAT1-1</v>
          </cell>
          <cell r="H80" t="str">
            <v>Clinical</v>
          </cell>
          <cell r="I80" t="str">
            <v>Wildtype</v>
          </cell>
          <cell r="K80">
            <v>4</v>
          </cell>
        </row>
        <row r="81">
          <cell r="A81" t="str">
            <v>C170</v>
          </cell>
          <cell r="B81">
            <v>51.488709</v>
          </cell>
          <cell r="C81">
            <v>-0.17050799999999999</v>
          </cell>
          <cell r="D81">
            <v>2014</v>
          </cell>
          <cell r="E81" t="str">
            <v>UK</v>
          </cell>
          <cell r="F81" t="str">
            <v>Wildtype</v>
          </cell>
          <cell r="G81" t="str">
            <v>MAT1-1</v>
          </cell>
          <cell r="H81" t="str">
            <v>Clinical</v>
          </cell>
          <cell r="I81" t="str">
            <v>Wildtype</v>
          </cell>
          <cell r="K81">
            <v>3</v>
          </cell>
        </row>
        <row r="82">
          <cell r="A82" t="str">
            <v>C171</v>
          </cell>
          <cell r="B82">
            <v>51.488709</v>
          </cell>
          <cell r="C82">
            <v>-0.17050799999999999</v>
          </cell>
          <cell r="D82">
            <v>2014</v>
          </cell>
          <cell r="E82" t="str">
            <v>UK</v>
          </cell>
          <cell r="F82" t="str">
            <v>G54R</v>
          </cell>
          <cell r="G82" t="str">
            <v>MAT1-2</v>
          </cell>
          <cell r="H82" t="str">
            <v>Clinical</v>
          </cell>
          <cell r="I82" t="str">
            <v>Wildtype</v>
          </cell>
          <cell r="K82">
            <v>5</v>
          </cell>
        </row>
        <row r="83">
          <cell r="A83" t="str">
            <v>C172</v>
          </cell>
          <cell r="B83">
            <v>51.488709</v>
          </cell>
          <cell r="C83">
            <v>-0.17050799999999999</v>
          </cell>
          <cell r="D83">
            <v>2014</v>
          </cell>
          <cell r="E83" t="str">
            <v>UK</v>
          </cell>
          <cell r="F83" t="str">
            <v>Wildtype</v>
          </cell>
          <cell r="G83" t="str">
            <v>MAT1-1</v>
          </cell>
          <cell r="H83" t="str">
            <v>Clinical</v>
          </cell>
          <cell r="I83" t="str">
            <v>Wildtype</v>
          </cell>
          <cell r="K83">
            <v>4</v>
          </cell>
        </row>
        <row r="84">
          <cell r="A84" t="str">
            <v>C173</v>
          </cell>
          <cell r="B84">
            <v>51.488709</v>
          </cell>
          <cell r="C84">
            <v>-0.17050799999999999</v>
          </cell>
          <cell r="D84">
            <v>2015</v>
          </cell>
          <cell r="E84" t="str">
            <v>UK</v>
          </cell>
          <cell r="F84" t="str">
            <v>Wildtype</v>
          </cell>
          <cell r="G84" t="str">
            <v>MAT1-2</v>
          </cell>
          <cell r="H84" t="str">
            <v>Clinical</v>
          </cell>
          <cell r="I84" t="str">
            <v>Wildtype</v>
          </cell>
          <cell r="K84">
            <v>4</v>
          </cell>
        </row>
        <row r="85">
          <cell r="A85" t="str">
            <v>C174</v>
          </cell>
          <cell r="B85">
            <v>37.741249000000003</v>
          </cell>
          <cell r="C85">
            <v>-25.675594</v>
          </cell>
          <cell r="D85">
            <v>1937</v>
          </cell>
          <cell r="E85" t="str">
            <v>UK</v>
          </cell>
          <cell r="F85" t="str">
            <v>Wildtype</v>
          </cell>
          <cell r="G85" t="str">
            <v>MAT1-1</v>
          </cell>
          <cell r="H85" t="str">
            <v>Clinical</v>
          </cell>
          <cell r="I85" t="str">
            <v>Wildtype</v>
          </cell>
          <cell r="K85">
            <v>3</v>
          </cell>
        </row>
        <row r="86">
          <cell r="A86" t="str">
            <v>C175</v>
          </cell>
          <cell r="B86">
            <v>37.741249000000003</v>
          </cell>
          <cell r="C86">
            <v>-25.675594</v>
          </cell>
          <cell r="D86">
            <v>1945</v>
          </cell>
          <cell r="E86" t="str">
            <v>UK</v>
          </cell>
          <cell r="F86" t="str">
            <v>Wildtype</v>
          </cell>
          <cell r="G86" t="str">
            <v>MAT1-1</v>
          </cell>
          <cell r="H86" t="str">
            <v>Clinical</v>
          </cell>
          <cell r="I86" t="str">
            <v>Wildtype</v>
          </cell>
          <cell r="K86">
            <v>1</v>
          </cell>
        </row>
        <row r="87">
          <cell r="A87" t="str">
            <v>C176</v>
          </cell>
          <cell r="B87">
            <v>41.603220999999998</v>
          </cell>
          <cell r="C87">
            <v>-73.087749000000002</v>
          </cell>
          <cell r="D87">
            <v>1921</v>
          </cell>
          <cell r="E87" t="str">
            <v>USA</v>
          </cell>
          <cell r="F87" t="str">
            <v>Wildtype</v>
          </cell>
          <cell r="G87" t="str">
            <v>MAT1-2</v>
          </cell>
          <cell r="H87" t="str">
            <v>Clinical</v>
          </cell>
          <cell r="I87" t="str">
            <v>Wildtype</v>
          </cell>
          <cell r="K87">
            <v>3</v>
          </cell>
        </row>
        <row r="88">
          <cell r="A88" t="str">
            <v>C177</v>
          </cell>
          <cell r="B88">
            <v>-31.253218</v>
          </cell>
          <cell r="C88">
            <v>146.921099</v>
          </cell>
          <cell r="D88">
            <v>2015</v>
          </cell>
          <cell r="E88" t="str">
            <v>Australia</v>
          </cell>
          <cell r="F88" t="str">
            <v>Wildtype</v>
          </cell>
          <cell r="G88" t="str">
            <v>MAT1-1</v>
          </cell>
          <cell r="H88" t="str">
            <v>Clinical</v>
          </cell>
          <cell r="I88" t="str">
            <v>Wildtype</v>
          </cell>
          <cell r="K88">
            <v>5</v>
          </cell>
        </row>
        <row r="89">
          <cell r="A89" t="str">
            <v>C178</v>
          </cell>
          <cell r="B89">
            <v>-31.253218</v>
          </cell>
          <cell r="C89">
            <v>146.921099</v>
          </cell>
          <cell r="D89">
            <v>2015</v>
          </cell>
          <cell r="E89" t="str">
            <v>Australia</v>
          </cell>
          <cell r="F89" t="str">
            <v>Wildtype</v>
          </cell>
          <cell r="G89" t="str">
            <v>MAT1-1</v>
          </cell>
          <cell r="H89" t="str">
            <v>Clinical</v>
          </cell>
          <cell r="I89" t="str">
            <v>Wildtype</v>
          </cell>
          <cell r="K89">
            <v>4</v>
          </cell>
        </row>
        <row r="90">
          <cell r="A90" t="str">
            <v>C179</v>
          </cell>
          <cell r="B90">
            <v>-31.253218</v>
          </cell>
          <cell r="C90">
            <v>146.921099</v>
          </cell>
          <cell r="D90">
            <v>2017</v>
          </cell>
          <cell r="E90" t="str">
            <v>Australia</v>
          </cell>
          <cell r="F90" t="str">
            <v>G54R</v>
          </cell>
          <cell r="G90" t="str">
            <v>MAT1-1</v>
          </cell>
          <cell r="H90" t="str">
            <v>Clinical</v>
          </cell>
          <cell r="I90" t="str">
            <v>Wildtype</v>
          </cell>
          <cell r="K90">
            <v>4</v>
          </cell>
        </row>
        <row r="91">
          <cell r="A91" t="str">
            <v>C18</v>
          </cell>
          <cell r="B91">
            <v>35.605057000000002</v>
          </cell>
          <cell r="C91">
            <v>140.12330600000001</v>
          </cell>
          <cell r="D91">
            <v>2009</v>
          </cell>
          <cell r="E91" t="str">
            <v>Japan</v>
          </cell>
          <cell r="F91" t="str">
            <v>Wildtype</v>
          </cell>
          <cell r="G91" t="str">
            <v>MAT1-2</v>
          </cell>
          <cell r="H91" t="str">
            <v>Clinical</v>
          </cell>
          <cell r="I91" t="str">
            <v>Wildtype</v>
          </cell>
          <cell r="K91">
            <v>4</v>
          </cell>
        </row>
        <row r="92">
          <cell r="A92" t="str">
            <v>C180</v>
          </cell>
          <cell r="B92">
            <v>-31.253218</v>
          </cell>
          <cell r="C92">
            <v>146.921099</v>
          </cell>
          <cell r="D92">
            <v>2016</v>
          </cell>
          <cell r="E92" t="str">
            <v>Australia</v>
          </cell>
          <cell r="F92" t="str">
            <v>Wildtype</v>
          </cell>
          <cell r="G92" t="str">
            <v>MAT1-2</v>
          </cell>
          <cell r="H92" t="str">
            <v>Clinical</v>
          </cell>
          <cell r="I92" t="str">
            <v>Wildtype</v>
          </cell>
          <cell r="K92">
            <v>5</v>
          </cell>
        </row>
        <row r="93">
          <cell r="A93" t="str">
            <v>C181</v>
          </cell>
          <cell r="B93">
            <v>-37.471308000000001</v>
          </cell>
          <cell r="C93">
            <v>144.78515300000001</v>
          </cell>
          <cell r="D93">
            <v>2012</v>
          </cell>
          <cell r="E93" t="str">
            <v>Australia</v>
          </cell>
          <cell r="F93" t="str">
            <v>Wildtype</v>
          </cell>
          <cell r="G93" t="str">
            <v>MAT1-1</v>
          </cell>
          <cell r="H93" t="str">
            <v>Clinical</v>
          </cell>
          <cell r="I93" t="str">
            <v>Wildtype</v>
          </cell>
          <cell r="K93">
            <v>3</v>
          </cell>
        </row>
        <row r="94">
          <cell r="A94" t="str">
            <v>C182</v>
          </cell>
          <cell r="B94">
            <v>-31.253218</v>
          </cell>
          <cell r="C94">
            <v>146.921099</v>
          </cell>
          <cell r="D94">
            <v>2016</v>
          </cell>
          <cell r="E94" t="str">
            <v>Australia</v>
          </cell>
          <cell r="F94" t="str">
            <v>Wildtype</v>
          </cell>
          <cell r="G94" t="str">
            <v>MAT1-2</v>
          </cell>
          <cell r="H94" t="str">
            <v>Clinical</v>
          </cell>
          <cell r="I94" t="str">
            <v>Wildtype</v>
          </cell>
          <cell r="K94">
            <v>5</v>
          </cell>
        </row>
        <row r="95">
          <cell r="A95" t="str">
            <v>C183</v>
          </cell>
          <cell r="B95">
            <v>-31.253218</v>
          </cell>
          <cell r="C95">
            <v>146.921099</v>
          </cell>
          <cell r="D95">
            <v>2016</v>
          </cell>
          <cell r="E95" t="str">
            <v>Australia</v>
          </cell>
          <cell r="F95" t="str">
            <v>Wildtype</v>
          </cell>
          <cell r="G95" t="str">
            <v>MAT1-2</v>
          </cell>
          <cell r="H95" t="str">
            <v>Clinical</v>
          </cell>
          <cell r="I95" t="str">
            <v>Wildtype</v>
          </cell>
          <cell r="K95">
            <v>5</v>
          </cell>
        </row>
        <row r="96">
          <cell r="A96" t="str">
            <v>C184</v>
          </cell>
          <cell r="B96">
            <v>-31.253218</v>
          </cell>
          <cell r="C96">
            <v>146.921099</v>
          </cell>
          <cell r="D96">
            <v>2015</v>
          </cell>
          <cell r="E96" t="str">
            <v>Australia</v>
          </cell>
          <cell r="F96" t="str">
            <v>Wildtype</v>
          </cell>
          <cell r="G96" t="str">
            <v>MAT1-2</v>
          </cell>
          <cell r="H96" t="str">
            <v>Clinical</v>
          </cell>
          <cell r="I96" t="str">
            <v>Wildtype</v>
          </cell>
          <cell r="K96">
            <v>5</v>
          </cell>
        </row>
        <row r="97">
          <cell r="A97" t="str">
            <v>C185</v>
          </cell>
          <cell r="B97">
            <v>-37.471308000000001</v>
          </cell>
          <cell r="C97">
            <v>144.78515300000001</v>
          </cell>
          <cell r="D97">
            <v>2016</v>
          </cell>
          <cell r="E97" t="str">
            <v>Australia</v>
          </cell>
          <cell r="F97" t="str">
            <v>G54R</v>
          </cell>
          <cell r="G97" t="str">
            <v>MAT1-1</v>
          </cell>
          <cell r="H97" t="str">
            <v>Clinical</v>
          </cell>
          <cell r="I97" t="str">
            <v>Wildtype</v>
          </cell>
          <cell r="K97">
            <v>5</v>
          </cell>
        </row>
        <row r="98">
          <cell r="A98" t="str">
            <v>C186</v>
          </cell>
          <cell r="B98">
            <v>-41.454520000000002</v>
          </cell>
          <cell r="C98">
            <v>145.970665</v>
          </cell>
          <cell r="D98">
            <v>2016</v>
          </cell>
          <cell r="E98" t="str">
            <v>Australia</v>
          </cell>
          <cell r="F98" t="str">
            <v>TR34/L98H</v>
          </cell>
          <cell r="G98" t="str">
            <v>MAT1-2</v>
          </cell>
          <cell r="H98" t="str">
            <v>Clinical</v>
          </cell>
          <cell r="I98" t="str">
            <v>F219Y</v>
          </cell>
          <cell r="K98">
            <v>3</v>
          </cell>
        </row>
        <row r="99">
          <cell r="A99" t="str">
            <v>C187</v>
          </cell>
          <cell r="B99">
            <v>53.551085999999998</v>
          </cell>
          <cell r="C99">
            <v>9.9936819999999997</v>
          </cell>
          <cell r="D99">
            <v>2011</v>
          </cell>
          <cell r="E99" t="str">
            <v>Germany</v>
          </cell>
          <cell r="F99" t="str">
            <v>TR34/L98H</v>
          </cell>
          <cell r="G99" t="str">
            <v>MAT1-2</v>
          </cell>
          <cell r="H99" t="str">
            <v>Clinical</v>
          </cell>
          <cell r="I99" t="str">
            <v>Wildtype</v>
          </cell>
          <cell r="K99">
            <v>3</v>
          </cell>
        </row>
        <row r="100">
          <cell r="A100" t="str">
            <v>C188</v>
          </cell>
          <cell r="B100">
            <v>25.044415999999998</v>
          </cell>
          <cell r="C100">
            <v>121.523606</v>
          </cell>
          <cell r="D100">
            <v>2014</v>
          </cell>
          <cell r="E100" t="str">
            <v xml:space="preserve">Taiwan </v>
          </cell>
          <cell r="F100" t="str">
            <v>TR34/L98H</v>
          </cell>
          <cell r="G100" t="str">
            <v>MAT1-1</v>
          </cell>
          <cell r="H100" t="str">
            <v>Clinical</v>
          </cell>
          <cell r="I100" t="str">
            <v>Wildtype</v>
          </cell>
          <cell r="K100">
            <v>4</v>
          </cell>
        </row>
        <row r="101">
          <cell r="A101" t="str">
            <v>C189</v>
          </cell>
          <cell r="B101">
            <v>6.2506399999999998</v>
          </cell>
          <cell r="C101">
            <v>-75.570359999999994</v>
          </cell>
          <cell r="D101">
            <v>2017</v>
          </cell>
          <cell r="E101" t="str">
            <v>Colombia</v>
          </cell>
          <cell r="F101" t="str">
            <v>Wildtype</v>
          </cell>
          <cell r="G101" t="str">
            <v>MAT1-2</v>
          </cell>
          <cell r="H101" t="str">
            <v>Clinical</v>
          </cell>
          <cell r="I101" t="str">
            <v>Wildtype</v>
          </cell>
          <cell r="K101">
            <v>4</v>
          </cell>
        </row>
        <row r="102">
          <cell r="A102" t="str">
            <v>C19</v>
          </cell>
          <cell r="B102">
            <v>35.605057000000002</v>
          </cell>
          <cell r="C102">
            <v>140.12330600000001</v>
          </cell>
          <cell r="D102">
            <v>2011</v>
          </cell>
          <cell r="E102" t="str">
            <v>Japan</v>
          </cell>
          <cell r="F102" t="str">
            <v>Wildtype</v>
          </cell>
          <cell r="G102" t="str">
            <v>MAT1-2</v>
          </cell>
          <cell r="H102" t="str">
            <v>Clinical</v>
          </cell>
          <cell r="I102" t="str">
            <v>Wildtype</v>
          </cell>
          <cell r="K102">
            <v>5</v>
          </cell>
        </row>
        <row r="103">
          <cell r="A103" t="str">
            <v>C190</v>
          </cell>
          <cell r="B103">
            <v>6.2506399999999998</v>
          </cell>
          <cell r="C103">
            <v>-75.570359999999994</v>
          </cell>
          <cell r="D103">
            <v>2017</v>
          </cell>
          <cell r="E103" t="str">
            <v>Colombia</v>
          </cell>
          <cell r="F103" t="str">
            <v>Wildtype</v>
          </cell>
          <cell r="G103" t="str">
            <v>MAT1-2</v>
          </cell>
          <cell r="H103" t="str">
            <v>Clinical</v>
          </cell>
          <cell r="I103" t="str">
            <v>Wildtype</v>
          </cell>
          <cell r="K103">
            <v>4</v>
          </cell>
        </row>
        <row r="104">
          <cell r="A104" t="str">
            <v>C191</v>
          </cell>
          <cell r="B104">
            <v>53.349803999999999</v>
          </cell>
          <cell r="C104">
            <v>-6.2603099999999996</v>
          </cell>
          <cell r="E104" t="str">
            <v>Republic of Ireland</v>
          </cell>
          <cell r="F104" t="str">
            <v>TR34/L98H</v>
          </cell>
          <cell r="G104" t="str">
            <v>MAT1-2</v>
          </cell>
          <cell r="H104" t="str">
            <v>Clinical</v>
          </cell>
          <cell r="I104" t="str">
            <v>Wildtype</v>
          </cell>
          <cell r="K104">
            <v>3</v>
          </cell>
        </row>
        <row r="105">
          <cell r="A105" t="str">
            <v>C192</v>
          </cell>
          <cell r="B105">
            <v>53.349803999999999</v>
          </cell>
          <cell r="C105">
            <v>-6.2603099999999996</v>
          </cell>
          <cell r="E105" t="str">
            <v>Republic of Ireland</v>
          </cell>
          <cell r="F105" t="str">
            <v>TR34/L98H</v>
          </cell>
          <cell r="G105" t="str">
            <v>MAT1-1</v>
          </cell>
          <cell r="H105" t="str">
            <v>Clinical</v>
          </cell>
          <cell r="I105" t="str">
            <v>Wildtype</v>
          </cell>
          <cell r="K105">
            <v>3</v>
          </cell>
        </row>
        <row r="106">
          <cell r="A106" t="str">
            <v>C193</v>
          </cell>
          <cell r="B106">
            <v>53.349803999999999</v>
          </cell>
          <cell r="C106">
            <v>-6.2603099999999996</v>
          </cell>
          <cell r="E106" t="str">
            <v>Republic of Ireland</v>
          </cell>
          <cell r="F106" t="str">
            <v>TR34/L98H</v>
          </cell>
          <cell r="G106" t="str">
            <v>MAT1-2</v>
          </cell>
          <cell r="H106" t="str">
            <v>Clinical</v>
          </cell>
          <cell r="I106" t="str">
            <v>F219Y</v>
          </cell>
          <cell r="K106">
            <v>3</v>
          </cell>
        </row>
        <row r="107">
          <cell r="A107" t="str">
            <v>C194</v>
          </cell>
          <cell r="B107">
            <v>53.349803999999999</v>
          </cell>
          <cell r="C107">
            <v>-6.2603099999999996</v>
          </cell>
          <cell r="E107" t="str">
            <v>Republic of Ireland</v>
          </cell>
          <cell r="F107" t="str">
            <v>TR34/L98H</v>
          </cell>
          <cell r="G107" t="str">
            <v>MAT1-1</v>
          </cell>
          <cell r="H107" t="str">
            <v>Environmental</v>
          </cell>
          <cell r="I107" t="str">
            <v>Wildtype</v>
          </cell>
          <cell r="K107">
            <v>3</v>
          </cell>
        </row>
        <row r="108">
          <cell r="A108" t="str">
            <v>C195</v>
          </cell>
          <cell r="B108">
            <v>53.349803999999999</v>
          </cell>
          <cell r="C108">
            <v>-6.2603099999999996</v>
          </cell>
          <cell r="E108" t="str">
            <v>Republic of Ireland</v>
          </cell>
          <cell r="F108" t="str">
            <v>TR46/Y121F/T289A</v>
          </cell>
          <cell r="G108" t="str">
            <v>MAT1-2</v>
          </cell>
          <cell r="H108" t="str">
            <v>Clinical</v>
          </cell>
          <cell r="I108" t="str">
            <v>F219Y</v>
          </cell>
          <cell r="K108">
            <v>3</v>
          </cell>
        </row>
        <row r="109">
          <cell r="A109" t="str">
            <v>C196</v>
          </cell>
          <cell r="B109">
            <v>53.349803999999999</v>
          </cell>
          <cell r="C109">
            <v>-6.2603099999999996</v>
          </cell>
          <cell r="E109" t="str">
            <v>Republic of Ireland</v>
          </cell>
          <cell r="F109" t="str">
            <v>TR34/L98H</v>
          </cell>
          <cell r="G109" t="str">
            <v>MAT1-2</v>
          </cell>
          <cell r="H109" t="str">
            <v>Clinical</v>
          </cell>
          <cell r="I109" t="str">
            <v>F219Y</v>
          </cell>
          <cell r="K109">
            <v>3</v>
          </cell>
        </row>
        <row r="110">
          <cell r="A110" t="str">
            <v>C197</v>
          </cell>
          <cell r="B110">
            <v>53.349803999999999</v>
          </cell>
          <cell r="C110">
            <v>-6.2603099999999996</v>
          </cell>
          <cell r="E110" t="str">
            <v>Republic of Ireland</v>
          </cell>
          <cell r="F110" t="str">
            <v>TR46/Y121F/T289A</v>
          </cell>
          <cell r="G110" t="str">
            <v>MAT1-2</v>
          </cell>
          <cell r="H110" t="str">
            <v>Clinical</v>
          </cell>
          <cell r="I110" t="str">
            <v>F219Y</v>
          </cell>
          <cell r="K110">
            <v>3</v>
          </cell>
        </row>
        <row r="111">
          <cell r="A111" t="str">
            <v>C198</v>
          </cell>
          <cell r="B111">
            <v>53.349803999999999</v>
          </cell>
          <cell r="C111">
            <v>-6.2603099999999996</v>
          </cell>
          <cell r="E111" t="str">
            <v>Republic of Ireland</v>
          </cell>
          <cell r="F111" t="str">
            <v>Wildtype</v>
          </cell>
          <cell r="G111" t="str">
            <v>MAT1-2</v>
          </cell>
          <cell r="H111" t="str">
            <v>Clinical</v>
          </cell>
          <cell r="I111" t="str">
            <v>Wildtype</v>
          </cell>
          <cell r="K111">
            <v>4</v>
          </cell>
        </row>
        <row r="112">
          <cell r="A112" t="str">
            <v>C199</v>
          </cell>
          <cell r="B112">
            <v>53.349803999999999</v>
          </cell>
          <cell r="C112">
            <v>-6.2603099999999996</v>
          </cell>
          <cell r="E112" t="str">
            <v>Republic of Ireland</v>
          </cell>
          <cell r="F112" t="str">
            <v>Wildtype</v>
          </cell>
          <cell r="G112" t="str">
            <v>MAT1-2</v>
          </cell>
          <cell r="H112" t="str">
            <v>Clinical</v>
          </cell>
          <cell r="I112" t="str">
            <v>Wildtype</v>
          </cell>
          <cell r="K112">
            <v>3</v>
          </cell>
        </row>
        <row r="113">
          <cell r="A113" t="str">
            <v>C2</v>
          </cell>
          <cell r="B113">
            <v>53.800755000000002</v>
          </cell>
          <cell r="C113">
            <v>-1.549077</v>
          </cell>
          <cell r="D113">
            <v>2012</v>
          </cell>
          <cell r="E113" t="str">
            <v>UK</v>
          </cell>
          <cell r="F113" t="str">
            <v>TR34/L98H</v>
          </cell>
          <cell r="G113" t="str">
            <v>MAT1-1</v>
          </cell>
          <cell r="H113" t="str">
            <v>Clinical</v>
          </cell>
          <cell r="I113" t="str">
            <v>Wildtype</v>
          </cell>
          <cell r="J113" t="str">
            <v>&gt;16</v>
          </cell>
          <cell r="K113">
            <v>3</v>
          </cell>
        </row>
        <row r="114">
          <cell r="A114" t="str">
            <v>C20</v>
          </cell>
          <cell r="B114">
            <v>35.605057000000002</v>
          </cell>
          <cell r="C114">
            <v>140.12330600000001</v>
          </cell>
          <cell r="D114">
            <v>2009</v>
          </cell>
          <cell r="E114" t="str">
            <v>Japan</v>
          </cell>
          <cell r="F114" t="str">
            <v>Wildtype</v>
          </cell>
          <cell r="G114" t="str">
            <v>MAT1-2</v>
          </cell>
          <cell r="H114" t="str">
            <v>Clinical</v>
          </cell>
          <cell r="I114" t="str">
            <v>Wildtype</v>
          </cell>
          <cell r="K114">
            <v>4</v>
          </cell>
        </row>
        <row r="115">
          <cell r="A115" t="str">
            <v>C200</v>
          </cell>
          <cell r="B115">
            <v>53.349803999999999</v>
          </cell>
          <cell r="C115">
            <v>-6.2603099999999996</v>
          </cell>
          <cell r="E115" t="str">
            <v>Republic of Ireland</v>
          </cell>
          <cell r="F115" t="str">
            <v>Wildtype</v>
          </cell>
          <cell r="G115" t="str">
            <v>MAT1-2</v>
          </cell>
          <cell r="H115" t="str">
            <v>Clinical</v>
          </cell>
          <cell r="I115" t="str">
            <v>Wildtype</v>
          </cell>
          <cell r="K115">
            <v>4</v>
          </cell>
        </row>
        <row r="116">
          <cell r="A116" t="str">
            <v>C201</v>
          </cell>
          <cell r="B116">
            <v>51.000061000000002</v>
          </cell>
          <cell r="C116">
            <v>3.3249900000000001</v>
          </cell>
          <cell r="D116">
            <v>2015</v>
          </cell>
          <cell r="E116" t="str">
            <v>Belgium</v>
          </cell>
          <cell r="F116" t="str">
            <v>TR46/Y121F/T289A</v>
          </cell>
          <cell r="G116" t="str">
            <v>MAT1-2</v>
          </cell>
          <cell r="H116" t="str">
            <v>Environmental</v>
          </cell>
          <cell r="I116" t="str">
            <v>F219Y</v>
          </cell>
          <cell r="J116" t="str">
            <v>&gt;8</v>
          </cell>
          <cell r="K116">
            <v>3</v>
          </cell>
        </row>
        <row r="117">
          <cell r="A117" t="str">
            <v>C202</v>
          </cell>
          <cell r="B117">
            <v>50.879845000000003</v>
          </cell>
          <cell r="C117">
            <v>4.7005179999999998</v>
          </cell>
          <cell r="D117">
            <v>2014</v>
          </cell>
          <cell r="E117" t="str">
            <v>Belgium</v>
          </cell>
          <cell r="F117" t="str">
            <v>TR46/Y121F/T289A</v>
          </cell>
          <cell r="G117" t="str">
            <v>MAT1-1</v>
          </cell>
          <cell r="H117" t="str">
            <v>Environmental</v>
          </cell>
          <cell r="I117" t="str">
            <v>F219Y</v>
          </cell>
          <cell r="J117" t="str">
            <v>&gt;16</v>
          </cell>
          <cell r="K117">
            <v>3</v>
          </cell>
        </row>
        <row r="118">
          <cell r="A118" t="str">
            <v>C203</v>
          </cell>
          <cell r="B118">
            <v>50.836601000000002</v>
          </cell>
          <cell r="C118">
            <v>4.30708</v>
          </cell>
          <cell r="D118">
            <v>2016</v>
          </cell>
          <cell r="E118" t="str">
            <v>Belgium</v>
          </cell>
          <cell r="F118" t="str">
            <v>TR34/L98H</v>
          </cell>
          <cell r="G118" t="str">
            <v>MAT1-2</v>
          </cell>
          <cell r="H118" t="str">
            <v>Environmental</v>
          </cell>
          <cell r="I118" t="str">
            <v>Wildtype</v>
          </cell>
          <cell r="J118" t="str">
            <v>&gt;8</v>
          </cell>
          <cell r="K118">
            <v>2</v>
          </cell>
        </row>
        <row r="119">
          <cell r="A119" t="str">
            <v>C204</v>
          </cell>
          <cell r="B119">
            <v>50.836601000000002</v>
          </cell>
          <cell r="C119">
            <v>4.30708</v>
          </cell>
          <cell r="D119">
            <v>2016</v>
          </cell>
          <cell r="E119" t="str">
            <v>Belgium</v>
          </cell>
          <cell r="F119" t="str">
            <v>TR46/Y121F/T289A</v>
          </cell>
          <cell r="G119" t="str">
            <v>MAT1-1</v>
          </cell>
          <cell r="H119" t="str">
            <v>Environmental</v>
          </cell>
          <cell r="I119" t="str">
            <v>F219Y</v>
          </cell>
          <cell r="J119" t="str">
            <v>&gt;8</v>
          </cell>
          <cell r="K119">
            <v>3</v>
          </cell>
        </row>
        <row r="120">
          <cell r="A120" t="str">
            <v>C205</v>
          </cell>
          <cell r="B120">
            <v>50.879845000000003</v>
          </cell>
          <cell r="C120">
            <v>4.7005179999999998</v>
          </cell>
          <cell r="D120">
            <v>2016</v>
          </cell>
          <cell r="E120" t="str">
            <v>Belgium</v>
          </cell>
          <cell r="F120" t="str">
            <v>TR34/L98H</v>
          </cell>
          <cell r="G120" t="str">
            <v>MAT1-1</v>
          </cell>
          <cell r="H120" t="str">
            <v>Environmental</v>
          </cell>
          <cell r="I120" t="str">
            <v>Wildtype</v>
          </cell>
          <cell r="J120" t="str">
            <v>&gt;8</v>
          </cell>
          <cell r="K120">
            <v>1</v>
          </cell>
        </row>
        <row r="121">
          <cell r="A121" t="str">
            <v>C206</v>
          </cell>
          <cell r="B121">
            <v>50.879845000000003</v>
          </cell>
          <cell r="C121">
            <v>4.7005179999999998</v>
          </cell>
          <cell r="D121">
            <v>2016</v>
          </cell>
          <cell r="E121" t="str">
            <v>Belgium</v>
          </cell>
          <cell r="F121" t="str">
            <v>TR34/L98H</v>
          </cell>
          <cell r="G121" t="str">
            <v>MAT1-1</v>
          </cell>
          <cell r="H121" t="str">
            <v>Environmental</v>
          </cell>
          <cell r="I121" t="str">
            <v>F219Y</v>
          </cell>
          <cell r="J121" t="str">
            <v>&gt;16</v>
          </cell>
          <cell r="K121">
            <v>3</v>
          </cell>
        </row>
        <row r="122">
          <cell r="A122" t="str">
            <v>C207</v>
          </cell>
          <cell r="B122">
            <v>50.836601000000002</v>
          </cell>
          <cell r="C122">
            <v>4.30708</v>
          </cell>
          <cell r="D122">
            <v>2016</v>
          </cell>
          <cell r="E122" t="str">
            <v>Belgium</v>
          </cell>
          <cell r="F122" t="str">
            <v>TR46/Y121F/T289A</v>
          </cell>
          <cell r="G122" t="str">
            <v>MAT1-2</v>
          </cell>
          <cell r="H122" t="str">
            <v>Environmental</v>
          </cell>
          <cell r="I122" t="str">
            <v>F219Y</v>
          </cell>
          <cell r="J122">
            <v>0.5</v>
          </cell>
          <cell r="K122">
            <v>3</v>
          </cell>
        </row>
        <row r="123">
          <cell r="A123" t="str">
            <v>C208</v>
          </cell>
          <cell r="B123">
            <v>50.879845000000003</v>
          </cell>
          <cell r="C123">
            <v>4.7005179999999998</v>
          </cell>
          <cell r="D123">
            <v>2017</v>
          </cell>
          <cell r="E123" t="str">
            <v>Belgium</v>
          </cell>
          <cell r="F123" t="str">
            <v>TR46/Y121F/T289A</v>
          </cell>
          <cell r="G123" t="str">
            <v>MAT1-2</v>
          </cell>
          <cell r="H123" t="str">
            <v>Environmental</v>
          </cell>
          <cell r="I123" t="str">
            <v>F219Y</v>
          </cell>
          <cell r="J123">
            <v>2</v>
          </cell>
          <cell r="K123">
            <v>3</v>
          </cell>
        </row>
        <row r="124">
          <cell r="A124" t="str">
            <v>C209</v>
          </cell>
          <cell r="B124">
            <v>42.923808999999999</v>
          </cell>
          <cell r="C124">
            <v>143.19663199999999</v>
          </cell>
          <cell r="D124">
            <v>2013</v>
          </cell>
          <cell r="E124" t="str">
            <v>Japan</v>
          </cell>
          <cell r="F124" t="str">
            <v>Wildtype</v>
          </cell>
          <cell r="G124" t="str">
            <v>MAT1-1</v>
          </cell>
          <cell r="H124" t="str">
            <v>Clinical</v>
          </cell>
          <cell r="I124" t="str">
            <v>Wildtype</v>
          </cell>
          <cell r="K124">
            <v>3</v>
          </cell>
        </row>
        <row r="125">
          <cell r="A125" t="str">
            <v>C21</v>
          </cell>
          <cell r="B125">
            <v>35.605057000000002</v>
          </cell>
          <cell r="C125">
            <v>140.12330600000001</v>
          </cell>
          <cell r="D125">
            <v>2012</v>
          </cell>
          <cell r="E125" t="str">
            <v>Japan</v>
          </cell>
          <cell r="F125" t="str">
            <v>Wildtype</v>
          </cell>
          <cell r="G125" t="str">
            <v>MAT1-1</v>
          </cell>
          <cell r="H125" t="str">
            <v>Clinical</v>
          </cell>
          <cell r="I125" t="str">
            <v>Wildtype</v>
          </cell>
          <cell r="K125">
            <v>4</v>
          </cell>
        </row>
        <row r="126">
          <cell r="A126" t="str">
            <v>C210</v>
          </cell>
          <cell r="B126">
            <v>42.923808999999999</v>
          </cell>
          <cell r="C126">
            <v>143.19663199999999</v>
          </cell>
          <cell r="D126">
            <v>2013</v>
          </cell>
          <cell r="E126" t="str">
            <v>Japan</v>
          </cell>
          <cell r="F126" t="str">
            <v>Wildtype</v>
          </cell>
          <cell r="G126" t="str">
            <v>MAT1-2</v>
          </cell>
          <cell r="H126" t="str">
            <v>Clinical</v>
          </cell>
          <cell r="I126" t="str">
            <v>Wildtype</v>
          </cell>
          <cell r="K126">
            <v>4</v>
          </cell>
        </row>
        <row r="127">
          <cell r="A127" t="str">
            <v>C211</v>
          </cell>
          <cell r="B127">
            <v>42.923808999999999</v>
          </cell>
          <cell r="C127">
            <v>143.19663199999999</v>
          </cell>
          <cell r="D127">
            <v>2013</v>
          </cell>
          <cell r="E127" t="str">
            <v>Japan</v>
          </cell>
          <cell r="F127" t="str">
            <v>Wildtype</v>
          </cell>
          <cell r="G127" t="str">
            <v>MAT1-2</v>
          </cell>
          <cell r="H127" t="str">
            <v>Clinical</v>
          </cell>
          <cell r="I127" t="str">
            <v>Wildtype</v>
          </cell>
          <cell r="K127">
            <v>4</v>
          </cell>
        </row>
        <row r="128">
          <cell r="A128" t="str">
            <v>C212</v>
          </cell>
          <cell r="B128">
            <v>42.923808999999999</v>
          </cell>
          <cell r="C128">
            <v>143.19663199999999</v>
          </cell>
          <cell r="D128">
            <v>2015</v>
          </cell>
          <cell r="E128" t="str">
            <v>Japan</v>
          </cell>
          <cell r="F128" t="str">
            <v>Wildtype</v>
          </cell>
          <cell r="G128" t="str">
            <v>MAT1-2</v>
          </cell>
          <cell r="H128" t="str">
            <v>Clinical</v>
          </cell>
          <cell r="I128" t="str">
            <v>Wildtype</v>
          </cell>
          <cell r="K128">
            <v>4</v>
          </cell>
        </row>
        <row r="129">
          <cell r="A129" t="str">
            <v>C213</v>
          </cell>
          <cell r="B129">
            <v>42.923808999999999</v>
          </cell>
          <cell r="C129">
            <v>143.19663199999999</v>
          </cell>
          <cell r="D129">
            <v>2015</v>
          </cell>
          <cell r="E129" t="str">
            <v>Japan</v>
          </cell>
          <cell r="F129" t="str">
            <v>Wildtype</v>
          </cell>
          <cell r="G129" t="str">
            <v>MAT1-2</v>
          </cell>
          <cell r="H129" t="str">
            <v>Clinical</v>
          </cell>
          <cell r="I129" t="str">
            <v>Wildtype</v>
          </cell>
          <cell r="K129">
            <v>4</v>
          </cell>
        </row>
        <row r="130">
          <cell r="A130" t="str">
            <v>C214</v>
          </cell>
          <cell r="B130">
            <v>42.923808999999999</v>
          </cell>
          <cell r="C130">
            <v>143.19663199999999</v>
          </cell>
          <cell r="D130">
            <v>2016</v>
          </cell>
          <cell r="E130" t="str">
            <v>Japan</v>
          </cell>
          <cell r="F130" t="str">
            <v>TR34/L98H</v>
          </cell>
          <cell r="G130" t="str">
            <v>MAT1-1</v>
          </cell>
          <cell r="H130" t="str">
            <v>Clinical</v>
          </cell>
          <cell r="I130" t="str">
            <v>Wildtype</v>
          </cell>
          <cell r="K130">
            <v>3</v>
          </cell>
        </row>
        <row r="131">
          <cell r="A131" t="str">
            <v>C215</v>
          </cell>
          <cell r="B131">
            <v>51.812564999999999</v>
          </cell>
          <cell r="C131">
            <v>5.8372260000000002</v>
          </cell>
          <cell r="D131">
            <v>1998</v>
          </cell>
          <cell r="E131" t="str">
            <v>Netherlands</v>
          </cell>
          <cell r="F131" t="str">
            <v>TR34/L98H</v>
          </cell>
          <cell r="G131" t="str">
            <v>MAT1-2</v>
          </cell>
          <cell r="H131" t="str">
            <v>Clinical</v>
          </cell>
          <cell r="I131" t="str">
            <v>Wildtype</v>
          </cell>
          <cell r="J131" t="str">
            <v>&gt;16</v>
          </cell>
          <cell r="K131">
            <v>1</v>
          </cell>
        </row>
        <row r="132">
          <cell r="A132" t="str">
            <v>C216</v>
          </cell>
          <cell r="B132">
            <v>51.812564999999999</v>
          </cell>
          <cell r="C132">
            <v>5.8372260000000002</v>
          </cell>
          <cell r="D132">
            <v>2000</v>
          </cell>
          <cell r="E132" t="str">
            <v>Netherlands</v>
          </cell>
          <cell r="F132" t="str">
            <v>TR34/L98H</v>
          </cell>
          <cell r="G132" t="str">
            <v>MAT1-2</v>
          </cell>
          <cell r="H132" t="str">
            <v>Clinical</v>
          </cell>
          <cell r="I132" t="str">
            <v>Wildtype</v>
          </cell>
          <cell r="J132" t="str">
            <v>&gt;16</v>
          </cell>
          <cell r="K132">
            <v>3</v>
          </cell>
        </row>
        <row r="133">
          <cell r="A133" t="str">
            <v>C217</v>
          </cell>
          <cell r="B133">
            <v>51.812564999999999</v>
          </cell>
          <cell r="C133">
            <v>5.8372260000000002</v>
          </cell>
          <cell r="D133">
            <v>2001</v>
          </cell>
          <cell r="E133" t="str">
            <v>Netherlands</v>
          </cell>
          <cell r="F133" t="str">
            <v>TR34/L98H</v>
          </cell>
          <cell r="G133" t="str">
            <v>MAT1-2</v>
          </cell>
          <cell r="H133" t="str">
            <v>Clinical</v>
          </cell>
          <cell r="I133" t="str">
            <v>Wildtype</v>
          </cell>
          <cell r="J133" t="str">
            <v>&gt;16</v>
          </cell>
          <cell r="K133">
            <v>3</v>
          </cell>
        </row>
        <row r="134">
          <cell r="A134" t="str">
            <v>C218</v>
          </cell>
          <cell r="B134">
            <v>51.812564999999999</v>
          </cell>
          <cell r="C134">
            <v>5.8372260000000002</v>
          </cell>
          <cell r="D134">
            <v>2002</v>
          </cell>
          <cell r="E134" t="str">
            <v>Netherlands</v>
          </cell>
          <cell r="F134" t="str">
            <v>TR34/L98H</v>
          </cell>
          <cell r="G134" t="str">
            <v>MAT1-2</v>
          </cell>
          <cell r="H134" t="str">
            <v>Clinical</v>
          </cell>
          <cell r="I134" t="str">
            <v>F219Y</v>
          </cell>
          <cell r="J134" t="str">
            <v>&gt;16</v>
          </cell>
          <cell r="K134">
            <v>3</v>
          </cell>
        </row>
        <row r="135">
          <cell r="A135" t="str">
            <v>C219</v>
          </cell>
          <cell r="B135">
            <v>51.812564999999999</v>
          </cell>
          <cell r="C135">
            <v>5.8372260000000002</v>
          </cell>
          <cell r="D135">
            <v>2003</v>
          </cell>
          <cell r="E135" t="str">
            <v>Netherlands</v>
          </cell>
          <cell r="F135" t="str">
            <v>TR34/L98H</v>
          </cell>
          <cell r="G135" t="str">
            <v>MAT1-2</v>
          </cell>
          <cell r="H135" t="str">
            <v>Clinical</v>
          </cell>
          <cell r="I135" t="str">
            <v>F219Y</v>
          </cell>
          <cell r="J135" t="str">
            <v>&gt;16</v>
          </cell>
          <cell r="K135">
            <v>3</v>
          </cell>
        </row>
        <row r="136">
          <cell r="A136" t="str">
            <v>C22</v>
          </cell>
          <cell r="B136">
            <v>35.689487</v>
          </cell>
          <cell r="C136">
            <v>139.69170600000001</v>
          </cell>
          <cell r="D136">
            <v>2012</v>
          </cell>
          <cell r="E136" t="str">
            <v>Japan</v>
          </cell>
          <cell r="F136" t="str">
            <v>Wildtype</v>
          </cell>
          <cell r="G136" t="str">
            <v>MAT1-2</v>
          </cell>
          <cell r="H136" t="str">
            <v>Clinical</v>
          </cell>
          <cell r="I136" t="str">
            <v>Wildtype</v>
          </cell>
          <cell r="K136">
            <v>5</v>
          </cell>
        </row>
        <row r="137">
          <cell r="A137" t="str">
            <v>C220</v>
          </cell>
          <cell r="B137">
            <v>51.812564999999999</v>
          </cell>
          <cell r="C137">
            <v>5.8372260000000002</v>
          </cell>
          <cell r="D137">
            <v>2004</v>
          </cell>
          <cell r="E137" t="str">
            <v>Netherlands</v>
          </cell>
          <cell r="F137" t="str">
            <v>TR34/L98H</v>
          </cell>
          <cell r="G137" t="str">
            <v>MAT1-2</v>
          </cell>
          <cell r="H137" t="str">
            <v>Clinical</v>
          </cell>
          <cell r="I137" t="str">
            <v>Wildtype</v>
          </cell>
          <cell r="J137" t="str">
            <v>&gt;16</v>
          </cell>
          <cell r="K137">
            <v>3</v>
          </cell>
        </row>
        <row r="138">
          <cell r="A138" t="str">
            <v>C221</v>
          </cell>
          <cell r="B138">
            <v>51.812564999999999</v>
          </cell>
          <cell r="C138">
            <v>5.8372260000000002</v>
          </cell>
          <cell r="D138">
            <v>2005</v>
          </cell>
          <cell r="E138" t="str">
            <v>Netherlands</v>
          </cell>
          <cell r="F138" t="str">
            <v>TR34/L98H</v>
          </cell>
          <cell r="G138" t="str">
            <v>MAT1-2</v>
          </cell>
          <cell r="H138" t="str">
            <v>Clinical</v>
          </cell>
          <cell r="I138" t="str">
            <v>Wildtype</v>
          </cell>
          <cell r="J138" t="str">
            <v>&gt;16</v>
          </cell>
          <cell r="K138">
            <v>3</v>
          </cell>
        </row>
        <row r="139">
          <cell r="A139" t="str">
            <v>C222</v>
          </cell>
          <cell r="B139">
            <v>52.090736</v>
          </cell>
          <cell r="C139">
            <v>5.1214199999999996</v>
          </cell>
          <cell r="D139">
            <v>2006</v>
          </cell>
          <cell r="E139" t="str">
            <v>Netherlands</v>
          </cell>
          <cell r="F139" t="str">
            <v>TR34/L98H</v>
          </cell>
          <cell r="G139" t="str">
            <v>MAT1-2</v>
          </cell>
          <cell r="H139" t="str">
            <v>Clinical</v>
          </cell>
          <cell r="I139" t="str">
            <v>Wildtype</v>
          </cell>
          <cell r="J139">
            <v>4</v>
          </cell>
          <cell r="K139">
            <v>3</v>
          </cell>
        </row>
        <row r="140">
          <cell r="A140" t="str">
            <v>C223</v>
          </cell>
          <cell r="B140">
            <v>52.090736</v>
          </cell>
          <cell r="C140">
            <v>5.1214199999999996</v>
          </cell>
          <cell r="D140">
            <v>2007</v>
          </cell>
          <cell r="E140" t="str">
            <v>Netherlands</v>
          </cell>
          <cell r="F140" t="str">
            <v>TR34/L98H</v>
          </cell>
          <cell r="G140" t="str">
            <v>MAT1-2</v>
          </cell>
          <cell r="H140" t="str">
            <v>Clinical</v>
          </cell>
          <cell r="I140" t="str">
            <v>Wildtype</v>
          </cell>
          <cell r="J140" t="str">
            <v>&gt;16</v>
          </cell>
          <cell r="K140">
            <v>3</v>
          </cell>
        </row>
        <row r="141">
          <cell r="A141" t="str">
            <v>C224</v>
          </cell>
          <cell r="B141">
            <v>53.201233000000002</v>
          </cell>
          <cell r="C141">
            <v>5.7999130000000001</v>
          </cell>
          <cell r="D141">
            <v>2007</v>
          </cell>
          <cell r="E141" t="str">
            <v>Netherlands</v>
          </cell>
          <cell r="F141" t="str">
            <v>TR34/L98H</v>
          </cell>
          <cell r="G141" t="str">
            <v>MAT1-2</v>
          </cell>
          <cell r="H141" t="str">
            <v>Clinical</v>
          </cell>
          <cell r="I141" t="str">
            <v>F219Y</v>
          </cell>
          <cell r="J141" t="str">
            <v>&gt;16</v>
          </cell>
          <cell r="K141">
            <v>3</v>
          </cell>
        </row>
        <row r="142">
          <cell r="A142" t="str">
            <v>C225</v>
          </cell>
          <cell r="B142">
            <v>51.924419</v>
          </cell>
          <cell r="C142">
            <v>4.4777329999999997</v>
          </cell>
          <cell r="D142">
            <v>2007</v>
          </cell>
          <cell r="E142" t="str">
            <v>Netherlands</v>
          </cell>
          <cell r="F142" t="str">
            <v>TR34/L98H</v>
          </cell>
          <cell r="G142" t="str">
            <v>MAT1-2</v>
          </cell>
          <cell r="H142" t="str">
            <v>Clinical</v>
          </cell>
          <cell r="I142" t="str">
            <v>F219Y</v>
          </cell>
          <cell r="J142" t="str">
            <v>&gt;16</v>
          </cell>
          <cell r="K142">
            <v>3</v>
          </cell>
        </row>
        <row r="143">
          <cell r="A143" t="str">
            <v>C226</v>
          </cell>
          <cell r="B143">
            <v>52.370215999999999</v>
          </cell>
          <cell r="C143">
            <v>4.895168</v>
          </cell>
          <cell r="D143">
            <v>2008</v>
          </cell>
          <cell r="E143" t="str">
            <v>Netherlands</v>
          </cell>
          <cell r="F143" t="str">
            <v>TR34/L98H</v>
          </cell>
          <cell r="G143" t="str">
            <v>MAT1-2</v>
          </cell>
          <cell r="H143" t="str">
            <v>Clinical</v>
          </cell>
          <cell r="I143" t="str">
            <v>Wildtype</v>
          </cell>
          <cell r="J143" t="str">
            <v>&gt;16</v>
          </cell>
          <cell r="K143">
            <v>3</v>
          </cell>
        </row>
        <row r="144">
          <cell r="A144" t="str">
            <v>C227</v>
          </cell>
          <cell r="B144">
            <v>51.924419</v>
          </cell>
          <cell r="C144">
            <v>4.4777329999999997</v>
          </cell>
          <cell r="D144">
            <v>2008</v>
          </cell>
          <cell r="E144" t="str">
            <v>Netherlands</v>
          </cell>
          <cell r="F144" t="str">
            <v>TR34/L98H</v>
          </cell>
          <cell r="G144" t="str">
            <v>MAT1-2</v>
          </cell>
          <cell r="H144" t="str">
            <v>Clinical</v>
          </cell>
          <cell r="I144" t="str">
            <v>Wildtype</v>
          </cell>
          <cell r="J144" t="str">
            <v>&gt;16</v>
          </cell>
          <cell r="K144">
            <v>3</v>
          </cell>
        </row>
        <row r="145">
          <cell r="A145" t="str">
            <v>C228</v>
          </cell>
          <cell r="B145">
            <v>53.219383000000001</v>
          </cell>
          <cell r="C145">
            <v>6.5665019999999998</v>
          </cell>
          <cell r="D145">
            <v>2008</v>
          </cell>
          <cell r="E145" t="str">
            <v>Netherlands</v>
          </cell>
          <cell r="F145" t="str">
            <v>TR34/L98H</v>
          </cell>
          <cell r="G145" t="str">
            <v>MAT1-2</v>
          </cell>
          <cell r="H145" t="str">
            <v>Clinical</v>
          </cell>
          <cell r="I145" t="str">
            <v>F219Y</v>
          </cell>
          <cell r="J145" t="str">
            <v>&gt;16</v>
          </cell>
          <cell r="K145">
            <v>3</v>
          </cell>
        </row>
        <row r="146">
          <cell r="A146" t="str">
            <v>C229</v>
          </cell>
          <cell r="B146">
            <v>53.219383000000001</v>
          </cell>
          <cell r="C146">
            <v>6.5665019999999998</v>
          </cell>
          <cell r="D146">
            <v>2009</v>
          </cell>
          <cell r="E146" t="str">
            <v>Netherlands</v>
          </cell>
          <cell r="F146" t="str">
            <v>TR34/L98H</v>
          </cell>
          <cell r="G146" t="str">
            <v>MAT1-2</v>
          </cell>
          <cell r="H146" t="str">
            <v>Clinical</v>
          </cell>
          <cell r="I146" t="str">
            <v>F219Y</v>
          </cell>
          <cell r="J146" t="str">
            <v>&gt;16</v>
          </cell>
          <cell r="K146">
            <v>3</v>
          </cell>
        </row>
        <row r="147">
          <cell r="A147" t="str">
            <v>C23</v>
          </cell>
          <cell r="B147">
            <v>35.501133000000003</v>
          </cell>
          <cell r="C147">
            <v>134.23509100000001</v>
          </cell>
          <cell r="D147">
            <v>2009</v>
          </cell>
          <cell r="E147" t="str">
            <v>Japan</v>
          </cell>
          <cell r="F147" t="str">
            <v>Wildtype</v>
          </cell>
          <cell r="G147" t="str">
            <v>MAT1-2</v>
          </cell>
          <cell r="H147" t="str">
            <v>Clinical</v>
          </cell>
          <cell r="I147" t="str">
            <v>Wildtype</v>
          </cell>
          <cell r="K147">
            <v>4</v>
          </cell>
        </row>
        <row r="148">
          <cell r="A148" t="str">
            <v>C230</v>
          </cell>
          <cell r="B148">
            <v>52.090736</v>
          </cell>
          <cell r="C148">
            <v>5.1214199999999996</v>
          </cell>
          <cell r="D148">
            <v>2009</v>
          </cell>
          <cell r="E148" t="str">
            <v>Netherlands</v>
          </cell>
          <cell r="F148" t="str">
            <v>TR46/Y121F/T289A</v>
          </cell>
          <cell r="G148" t="str">
            <v>MAT1-2</v>
          </cell>
          <cell r="H148" t="str">
            <v>Clinical</v>
          </cell>
          <cell r="I148" t="str">
            <v>F219Y</v>
          </cell>
          <cell r="J148">
            <v>4</v>
          </cell>
          <cell r="K148">
            <v>3</v>
          </cell>
        </row>
        <row r="149">
          <cell r="A149" t="str">
            <v>C231</v>
          </cell>
          <cell r="B149">
            <v>53.219383000000001</v>
          </cell>
          <cell r="C149">
            <v>6.5665019999999998</v>
          </cell>
          <cell r="D149">
            <v>2010</v>
          </cell>
          <cell r="E149" t="str">
            <v>Netherlands</v>
          </cell>
          <cell r="F149" t="str">
            <v>TR34/L98H</v>
          </cell>
          <cell r="G149" t="str">
            <v>MAT1-2</v>
          </cell>
          <cell r="H149" t="str">
            <v>Clinical</v>
          </cell>
          <cell r="I149" t="str">
            <v>F219Y</v>
          </cell>
          <cell r="J149" t="str">
            <v>&gt;16</v>
          </cell>
          <cell r="K149">
            <v>3</v>
          </cell>
        </row>
        <row r="150">
          <cell r="A150" t="str">
            <v>C232</v>
          </cell>
          <cell r="B150">
            <v>51.812564999999999</v>
          </cell>
          <cell r="C150">
            <v>5.8372260000000002</v>
          </cell>
          <cell r="D150">
            <v>2010</v>
          </cell>
          <cell r="E150" t="str">
            <v>Netherlands</v>
          </cell>
          <cell r="F150" t="str">
            <v>TR46/Y121F/T289A</v>
          </cell>
          <cell r="G150" t="str">
            <v>MAT1-2</v>
          </cell>
          <cell r="H150" t="str">
            <v>Clinical</v>
          </cell>
          <cell r="I150" t="str">
            <v>F219Y</v>
          </cell>
          <cell r="J150">
            <v>0.5</v>
          </cell>
          <cell r="K150">
            <v>3</v>
          </cell>
        </row>
        <row r="151">
          <cell r="A151" t="str">
            <v>C233</v>
          </cell>
          <cell r="B151">
            <v>52.090736</v>
          </cell>
          <cell r="C151">
            <v>5.1214199999999996</v>
          </cell>
          <cell r="D151">
            <v>2011</v>
          </cell>
          <cell r="E151" t="str">
            <v>Netherlands</v>
          </cell>
          <cell r="F151" t="str">
            <v>TR34/L98H</v>
          </cell>
          <cell r="G151" t="str">
            <v>MAT1-2</v>
          </cell>
          <cell r="H151" t="str">
            <v>Clinical</v>
          </cell>
          <cell r="I151" t="str">
            <v>F219Y</v>
          </cell>
          <cell r="J151" t="str">
            <v>&gt;16</v>
          </cell>
          <cell r="K151">
            <v>3</v>
          </cell>
        </row>
        <row r="152">
          <cell r="A152" t="str">
            <v>C234</v>
          </cell>
          <cell r="B152">
            <v>51.924419</v>
          </cell>
          <cell r="C152">
            <v>4.4777329999999997</v>
          </cell>
          <cell r="D152">
            <v>2012</v>
          </cell>
          <cell r="E152" t="str">
            <v>Netherlands</v>
          </cell>
          <cell r="F152" t="str">
            <v>TR34/L98H</v>
          </cell>
          <cell r="G152" t="str">
            <v>MAT1-2</v>
          </cell>
          <cell r="H152" t="str">
            <v>Clinical</v>
          </cell>
          <cell r="I152" t="str">
            <v>F219Y</v>
          </cell>
          <cell r="J152" t="str">
            <v>&gt;16</v>
          </cell>
          <cell r="K152">
            <v>3</v>
          </cell>
        </row>
        <row r="153">
          <cell r="A153" t="str">
            <v>C235</v>
          </cell>
          <cell r="B153">
            <v>52.221539</v>
          </cell>
          <cell r="C153">
            <v>6.893662</v>
          </cell>
          <cell r="D153">
            <v>2012</v>
          </cell>
          <cell r="E153" t="str">
            <v>Netherlands</v>
          </cell>
          <cell r="F153" t="str">
            <v>TR46/Y121F/T289A</v>
          </cell>
          <cell r="G153" t="str">
            <v>MAT1-2</v>
          </cell>
          <cell r="H153" t="str">
            <v>Clinical</v>
          </cell>
          <cell r="I153" t="str">
            <v>F219Y</v>
          </cell>
          <cell r="J153" t="str">
            <v>&gt;16</v>
          </cell>
          <cell r="K153">
            <v>4</v>
          </cell>
        </row>
        <row r="154">
          <cell r="A154" t="str">
            <v>C236</v>
          </cell>
          <cell r="B154">
            <v>51.812564999999999</v>
          </cell>
          <cell r="C154">
            <v>5.8372260000000002</v>
          </cell>
          <cell r="D154">
            <v>2013</v>
          </cell>
          <cell r="E154" t="str">
            <v>Netherlands</v>
          </cell>
          <cell r="F154" t="str">
            <v>TR46/Y121F/T289A</v>
          </cell>
          <cell r="G154" t="str">
            <v>MAT1-2</v>
          </cell>
          <cell r="H154" t="str">
            <v>Clinical</v>
          </cell>
          <cell r="I154" t="str">
            <v>F219Y</v>
          </cell>
          <cell r="J154">
            <v>8</v>
          </cell>
          <cell r="K154">
            <v>3</v>
          </cell>
        </row>
        <row r="155">
          <cell r="A155" t="str">
            <v>C237</v>
          </cell>
          <cell r="B155">
            <v>53.219383000000001</v>
          </cell>
          <cell r="C155">
            <v>6.5665019999999998</v>
          </cell>
          <cell r="D155">
            <v>2014</v>
          </cell>
          <cell r="E155" t="str">
            <v>Netherlands</v>
          </cell>
          <cell r="F155" t="str">
            <v>TR34/L98H</v>
          </cell>
          <cell r="G155" t="str">
            <v>MAT1-2</v>
          </cell>
          <cell r="H155" t="str">
            <v>Clinical</v>
          </cell>
          <cell r="I155" t="str">
            <v>Wildtype</v>
          </cell>
          <cell r="J155" t="str">
            <v>&gt;16</v>
          </cell>
          <cell r="K155">
            <v>3</v>
          </cell>
        </row>
        <row r="156">
          <cell r="A156" t="str">
            <v>C238</v>
          </cell>
          <cell r="B156">
            <v>51.812564999999999</v>
          </cell>
          <cell r="C156">
            <v>5.8372260000000002</v>
          </cell>
          <cell r="D156">
            <v>2016</v>
          </cell>
          <cell r="E156" t="str">
            <v>Netherlands</v>
          </cell>
          <cell r="F156" t="str">
            <v>Wildtype</v>
          </cell>
          <cell r="G156" t="str">
            <v>MAT1-2</v>
          </cell>
          <cell r="H156" t="str">
            <v>Clinical</v>
          </cell>
          <cell r="I156" t="str">
            <v>Wildtype</v>
          </cell>
          <cell r="J156" t="str">
            <v>&gt;8</v>
          </cell>
          <cell r="K156">
            <v>4</v>
          </cell>
        </row>
        <row r="157">
          <cell r="A157" t="str">
            <v>C239</v>
          </cell>
          <cell r="B157">
            <v>51.812564999999999</v>
          </cell>
          <cell r="C157">
            <v>5.8372260000000002</v>
          </cell>
          <cell r="D157">
            <v>2016</v>
          </cell>
          <cell r="E157" t="str">
            <v>Netherlands</v>
          </cell>
          <cell r="F157" t="str">
            <v>TR34/L98H</v>
          </cell>
          <cell r="G157" t="str">
            <v>MAT1-2</v>
          </cell>
          <cell r="H157" t="str">
            <v>Clinical</v>
          </cell>
          <cell r="I157" t="str">
            <v>Wildtype</v>
          </cell>
          <cell r="J157" t="str">
            <v>&gt;16</v>
          </cell>
          <cell r="K157">
            <v>3</v>
          </cell>
        </row>
        <row r="158">
          <cell r="A158" t="str">
            <v>C24</v>
          </cell>
          <cell r="B158">
            <v>32.750286000000003</v>
          </cell>
          <cell r="C158">
            <v>129.877667</v>
          </cell>
          <cell r="D158">
            <v>2009</v>
          </cell>
          <cell r="E158" t="str">
            <v>Japan</v>
          </cell>
          <cell r="F158" t="str">
            <v>Wildtype</v>
          </cell>
          <cell r="G158" t="str">
            <v>MAT1-2</v>
          </cell>
          <cell r="H158" t="str">
            <v>Clinical</v>
          </cell>
          <cell r="I158" t="str">
            <v>Wildtype</v>
          </cell>
          <cell r="K158">
            <v>4</v>
          </cell>
        </row>
        <row r="159">
          <cell r="A159" t="str">
            <v>C240</v>
          </cell>
          <cell r="B159">
            <v>52.370215999999999</v>
          </cell>
          <cell r="C159">
            <v>4.895168</v>
          </cell>
          <cell r="D159">
            <v>2016</v>
          </cell>
          <cell r="E159" t="str">
            <v>Netherlands</v>
          </cell>
          <cell r="F159" t="str">
            <v>TR34/L98H</v>
          </cell>
          <cell r="G159" t="str">
            <v>MAT1-2</v>
          </cell>
          <cell r="H159" t="str">
            <v>Clinical</v>
          </cell>
          <cell r="I159" t="str">
            <v>F219Y</v>
          </cell>
          <cell r="J159" t="str">
            <v>&gt;8</v>
          </cell>
          <cell r="K159">
            <v>3</v>
          </cell>
        </row>
        <row r="160">
          <cell r="A160" t="str">
            <v>C241</v>
          </cell>
          <cell r="B160">
            <v>53.219383000000001</v>
          </cell>
          <cell r="C160">
            <v>6.5665019999999998</v>
          </cell>
          <cell r="D160">
            <v>2016</v>
          </cell>
          <cell r="E160" t="str">
            <v>Netherlands</v>
          </cell>
          <cell r="F160" t="str">
            <v>TR34/L98H</v>
          </cell>
          <cell r="G160" t="str">
            <v>MAT1-2</v>
          </cell>
          <cell r="H160" t="str">
            <v>Clinical</v>
          </cell>
          <cell r="I160" t="str">
            <v>F219Y</v>
          </cell>
          <cell r="J160" t="str">
            <v>&gt;8</v>
          </cell>
          <cell r="K160">
            <v>3</v>
          </cell>
        </row>
        <row r="161">
          <cell r="A161" t="str">
            <v>C242</v>
          </cell>
          <cell r="B161">
            <v>51.924419</v>
          </cell>
          <cell r="C161">
            <v>4.4777329999999997</v>
          </cell>
          <cell r="D161">
            <v>2016</v>
          </cell>
          <cell r="E161" t="str">
            <v>Netherlands</v>
          </cell>
          <cell r="F161" t="str">
            <v>TR34/L98H</v>
          </cell>
          <cell r="G161" t="str">
            <v>MAT1-2</v>
          </cell>
          <cell r="H161" t="str">
            <v>Clinical</v>
          </cell>
          <cell r="I161" t="str">
            <v>F219Y</v>
          </cell>
          <cell r="J161" t="str">
            <v>&gt;8</v>
          </cell>
          <cell r="K161">
            <v>3</v>
          </cell>
        </row>
        <row r="162">
          <cell r="A162" t="str">
            <v>C243</v>
          </cell>
          <cell r="B162">
            <v>50.851368000000001</v>
          </cell>
          <cell r="C162">
            <v>5.6909720000000004</v>
          </cell>
          <cell r="D162">
            <v>2016</v>
          </cell>
          <cell r="E162" t="str">
            <v>Netherlands</v>
          </cell>
          <cell r="F162" t="str">
            <v>TR34/L98H</v>
          </cell>
          <cell r="G162" t="str">
            <v>MAT1-2</v>
          </cell>
          <cell r="H162" t="str">
            <v>Clinical</v>
          </cell>
          <cell r="I162" t="str">
            <v>Wildtype</v>
          </cell>
          <cell r="J162" t="str">
            <v>&gt;8</v>
          </cell>
          <cell r="K162">
            <v>3</v>
          </cell>
        </row>
        <row r="163">
          <cell r="A163" t="str">
            <v>C244</v>
          </cell>
          <cell r="B163">
            <v>51.812564999999999</v>
          </cell>
          <cell r="C163">
            <v>5.8372260000000002</v>
          </cell>
          <cell r="D163">
            <v>2016</v>
          </cell>
          <cell r="E163" t="str">
            <v>Netherlands</v>
          </cell>
          <cell r="F163" t="str">
            <v>TR46/Y121F/T289A</v>
          </cell>
          <cell r="G163" t="str">
            <v>MAT1-2</v>
          </cell>
          <cell r="H163" t="str">
            <v>Clinical</v>
          </cell>
          <cell r="I163" t="str">
            <v>F219Y</v>
          </cell>
          <cell r="J163">
            <v>0.5</v>
          </cell>
          <cell r="K163">
            <v>3</v>
          </cell>
        </row>
        <row r="164">
          <cell r="A164" t="str">
            <v>C245</v>
          </cell>
          <cell r="B164">
            <v>51.924419</v>
          </cell>
          <cell r="C164">
            <v>4.4777329999999997</v>
          </cell>
          <cell r="D164">
            <v>2017</v>
          </cell>
          <cell r="E164" t="str">
            <v>Netherlands</v>
          </cell>
          <cell r="F164" t="str">
            <v>TR34/L98H</v>
          </cell>
          <cell r="G164" t="str">
            <v>MAT1-2</v>
          </cell>
          <cell r="H164" t="str">
            <v>Clinical</v>
          </cell>
          <cell r="I164" t="str">
            <v>F219Y</v>
          </cell>
          <cell r="J164" t="str">
            <v>&gt;16</v>
          </cell>
          <cell r="K164">
            <v>1</v>
          </cell>
        </row>
        <row r="165">
          <cell r="A165" t="str">
            <v>C246</v>
          </cell>
          <cell r="B165">
            <v>53.219383000000001</v>
          </cell>
          <cell r="C165">
            <v>6.5665019999999998</v>
          </cell>
          <cell r="D165">
            <v>2017</v>
          </cell>
          <cell r="E165" t="str">
            <v>Netherlands</v>
          </cell>
          <cell r="F165" t="str">
            <v>TR34/L98H</v>
          </cell>
          <cell r="G165" t="str">
            <v>MAT1-2</v>
          </cell>
          <cell r="H165" t="str">
            <v>Clinical</v>
          </cell>
          <cell r="I165" t="str">
            <v>Wildtype</v>
          </cell>
          <cell r="J165" t="str">
            <v>&gt;16</v>
          </cell>
          <cell r="K165">
            <v>3</v>
          </cell>
        </row>
        <row r="166">
          <cell r="A166" t="str">
            <v>C247</v>
          </cell>
          <cell r="B166">
            <v>52.342201000000003</v>
          </cell>
          <cell r="C166">
            <v>5.6367419999999999</v>
          </cell>
          <cell r="D166">
            <v>2017</v>
          </cell>
          <cell r="E166" t="str">
            <v>Netherlands</v>
          </cell>
          <cell r="F166" t="str">
            <v>TR46/Y121F/T289A</v>
          </cell>
          <cell r="G166" t="str">
            <v>MAT1-2</v>
          </cell>
          <cell r="H166" t="str">
            <v>Clinical</v>
          </cell>
          <cell r="I166" t="str">
            <v>F219Y</v>
          </cell>
          <cell r="J166">
            <v>1</v>
          </cell>
          <cell r="K166">
            <v>3</v>
          </cell>
        </row>
        <row r="167">
          <cell r="A167" t="str">
            <v>C248</v>
          </cell>
          <cell r="B167">
            <v>53.219383000000001</v>
          </cell>
          <cell r="C167">
            <v>6.5665019999999998</v>
          </cell>
          <cell r="D167">
            <v>2017</v>
          </cell>
          <cell r="E167" t="str">
            <v>Netherlands</v>
          </cell>
          <cell r="F167" t="str">
            <v>TR46/Y121F/T289A</v>
          </cell>
          <cell r="G167" t="str">
            <v>MAT1-2</v>
          </cell>
          <cell r="H167" t="str">
            <v>Clinical</v>
          </cell>
          <cell r="I167" t="str">
            <v>F219Y</v>
          </cell>
          <cell r="J167">
            <v>2</v>
          </cell>
          <cell r="K167">
            <v>3</v>
          </cell>
        </row>
        <row r="168">
          <cell r="A168" t="str">
            <v>C249</v>
          </cell>
          <cell r="B168">
            <v>53.219383000000001</v>
          </cell>
          <cell r="C168">
            <v>6.5665019999999998</v>
          </cell>
          <cell r="D168">
            <v>2017</v>
          </cell>
          <cell r="E168" t="str">
            <v>Netherlands</v>
          </cell>
          <cell r="F168" t="str">
            <v>TR46/Y121F/T289A</v>
          </cell>
          <cell r="G168" t="str">
            <v>MAT1-2</v>
          </cell>
          <cell r="H168" t="str">
            <v>Clinical</v>
          </cell>
          <cell r="I168" t="str">
            <v>F219Y</v>
          </cell>
          <cell r="J168" t="str">
            <v>&gt;16</v>
          </cell>
          <cell r="K168">
            <v>4</v>
          </cell>
        </row>
        <row r="169">
          <cell r="A169" t="str">
            <v>C25</v>
          </cell>
          <cell r="B169">
            <v>35.605057000000002</v>
          </cell>
          <cell r="C169">
            <v>140.12330600000001</v>
          </cell>
          <cell r="D169">
            <v>2009</v>
          </cell>
          <cell r="E169" t="str">
            <v>Japan</v>
          </cell>
          <cell r="F169" t="str">
            <v>Wildtype</v>
          </cell>
          <cell r="G169" t="str">
            <v>MAT1-2</v>
          </cell>
          <cell r="H169" t="str">
            <v>Clinical</v>
          </cell>
          <cell r="I169" t="str">
            <v>Wildtype</v>
          </cell>
          <cell r="K169">
            <v>1</v>
          </cell>
        </row>
        <row r="170">
          <cell r="A170" t="str">
            <v>C250</v>
          </cell>
          <cell r="B170">
            <v>37.090240000000001</v>
          </cell>
          <cell r="C170">
            <v>-95.712890999999999</v>
          </cell>
          <cell r="E170" t="str">
            <v>USA</v>
          </cell>
          <cell r="F170" t="str">
            <v>Wildtype</v>
          </cell>
          <cell r="G170" t="e">
            <v>#N/A</v>
          </cell>
          <cell r="H170" t="str">
            <v>Clinical</v>
          </cell>
          <cell r="I170" t="str">
            <v>Wildtype</v>
          </cell>
          <cell r="K170">
            <v>1</v>
          </cell>
        </row>
        <row r="171">
          <cell r="A171" t="str">
            <v>C251</v>
          </cell>
          <cell r="B171">
            <v>37.090240000000001</v>
          </cell>
          <cell r="C171">
            <v>-95.712890999999999</v>
          </cell>
          <cell r="E171" t="str">
            <v>USA</v>
          </cell>
          <cell r="F171" t="str">
            <v>Wildtype</v>
          </cell>
          <cell r="G171" t="str">
            <v>MAT1-2</v>
          </cell>
          <cell r="H171" t="str">
            <v>Clinical</v>
          </cell>
          <cell r="I171" t="str">
            <v>Wildtype</v>
          </cell>
          <cell r="K171">
            <v>4</v>
          </cell>
        </row>
        <row r="172">
          <cell r="A172" t="str">
            <v>C252</v>
          </cell>
          <cell r="B172">
            <v>43.193851000000002</v>
          </cell>
          <cell r="C172">
            <v>-71.572395</v>
          </cell>
          <cell r="D172">
            <v>2018</v>
          </cell>
          <cell r="E172" t="str">
            <v>USA</v>
          </cell>
          <cell r="F172" t="str">
            <v>Wildtype</v>
          </cell>
          <cell r="G172" t="str">
            <v>MAT1-2</v>
          </cell>
          <cell r="H172" t="str">
            <v>Clinical</v>
          </cell>
          <cell r="I172" t="str">
            <v>Wildtype</v>
          </cell>
          <cell r="K172">
            <v>4</v>
          </cell>
        </row>
        <row r="173">
          <cell r="A173" t="str">
            <v>C253</v>
          </cell>
          <cell r="B173">
            <v>37.090240000000001</v>
          </cell>
          <cell r="C173">
            <v>-95.712890999999999</v>
          </cell>
          <cell r="D173">
            <v>2013</v>
          </cell>
          <cell r="E173" t="str">
            <v>USA</v>
          </cell>
          <cell r="F173" t="str">
            <v>G54W</v>
          </cell>
          <cell r="G173" t="str">
            <v>MAT1-2</v>
          </cell>
          <cell r="H173" t="str">
            <v>Clinical</v>
          </cell>
          <cell r="I173" t="str">
            <v>Wildtype</v>
          </cell>
          <cell r="K173">
            <v>5</v>
          </cell>
        </row>
        <row r="174">
          <cell r="A174" t="str">
            <v>C254</v>
          </cell>
          <cell r="B174">
            <v>41.203322999999997</v>
          </cell>
          <cell r="C174">
            <v>-77.194526999999994</v>
          </cell>
          <cell r="E174" t="str">
            <v>USA</v>
          </cell>
          <cell r="F174" t="str">
            <v>Wildtype</v>
          </cell>
          <cell r="G174" t="str">
            <v>MAT1-2</v>
          </cell>
          <cell r="H174" t="str">
            <v>Clinical</v>
          </cell>
          <cell r="I174" t="str">
            <v>Wildtype</v>
          </cell>
          <cell r="K174">
            <v>4</v>
          </cell>
        </row>
        <row r="175">
          <cell r="A175" t="str">
            <v>C255</v>
          </cell>
          <cell r="B175">
            <v>38.907192000000002</v>
          </cell>
          <cell r="C175">
            <v>-77.036873</v>
          </cell>
          <cell r="E175" t="str">
            <v>USA</v>
          </cell>
          <cell r="F175" t="str">
            <v>Wildtype</v>
          </cell>
          <cell r="G175" t="str">
            <v>MAT1-2</v>
          </cell>
          <cell r="H175" t="str">
            <v>Clinical</v>
          </cell>
          <cell r="I175" t="str">
            <v>Wildtype</v>
          </cell>
          <cell r="K175">
            <v>5</v>
          </cell>
        </row>
        <row r="176">
          <cell r="A176" t="str">
            <v>C256</v>
          </cell>
          <cell r="B176">
            <v>31.968599000000001</v>
          </cell>
          <cell r="C176">
            <v>-99.901809999999998</v>
          </cell>
          <cell r="E176" t="str">
            <v>USA</v>
          </cell>
          <cell r="F176" t="str">
            <v>Wildtype</v>
          </cell>
          <cell r="G176" t="str">
            <v>MAT1-2</v>
          </cell>
          <cell r="H176" t="str">
            <v>Clinical</v>
          </cell>
          <cell r="I176" t="str">
            <v>Wildtype</v>
          </cell>
          <cell r="K176">
            <v>4</v>
          </cell>
        </row>
        <row r="177">
          <cell r="A177" t="str">
            <v>C257</v>
          </cell>
          <cell r="B177">
            <v>37.431572000000003</v>
          </cell>
          <cell r="C177">
            <v>-78.656891000000002</v>
          </cell>
          <cell r="E177" t="str">
            <v>USA</v>
          </cell>
          <cell r="F177" t="str">
            <v>Wildtype</v>
          </cell>
          <cell r="G177" t="str">
            <v>MAT1-2</v>
          </cell>
          <cell r="H177" t="str">
            <v>Clinical</v>
          </cell>
          <cell r="I177" t="str">
            <v>Wildtype</v>
          </cell>
          <cell r="K177">
            <v>4</v>
          </cell>
        </row>
        <row r="178">
          <cell r="A178" t="str">
            <v>C258</v>
          </cell>
          <cell r="B178">
            <v>36.778258999999998</v>
          </cell>
          <cell r="C178">
            <v>-119.417931</v>
          </cell>
          <cell r="E178" t="str">
            <v>USA</v>
          </cell>
          <cell r="F178" t="str">
            <v>Wildtype</v>
          </cell>
          <cell r="G178" t="str">
            <v>MAT1-2</v>
          </cell>
          <cell r="H178" t="str">
            <v>Clinical</v>
          </cell>
          <cell r="I178" t="str">
            <v>Wildtype</v>
          </cell>
          <cell r="K178">
            <v>5</v>
          </cell>
        </row>
        <row r="179">
          <cell r="A179" t="str">
            <v>C259</v>
          </cell>
          <cell r="B179">
            <v>37.090240000000001</v>
          </cell>
          <cell r="C179">
            <v>-95.712890999999999</v>
          </cell>
          <cell r="D179">
            <v>2015</v>
          </cell>
          <cell r="E179" t="str">
            <v>USA</v>
          </cell>
          <cell r="F179" t="str">
            <v>Wildtype</v>
          </cell>
          <cell r="G179" t="str">
            <v>MAT1-2</v>
          </cell>
          <cell r="H179" t="str">
            <v>Clinical</v>
          </cell>
          <cell r="I179" t="str">
            <v>Wildtype</v>
          </cell>
          <cell r="K179">
            <v>5</v>
          </cell>
        </row>
        <row r="180">
          <cell r="A180" t="str">
            <v>C26</v>
          </cell>
          <cell r="B180">
            <v>35.605057000000002</v>
          </cell>
          <cell r="C180">
            <v>140.12330600000001</v>
          </cell>
          <cell r="D180">
            <v>2010</v>
          </cell>
          <cell r="E180" t="str">
            <v>Japan</v>
          </cell>
          <cell r="F180" t="str">
            <v>Wildtype</v>
          </cell>
          <cell r="G180" t="str">
            <v>MAT1-2</v>
          </cell>
          <cell r="H180" t="str">
            <v>Clinical</v>
          </cell>
          <cell r="I180" t="str">
            <v>Wildtype</v>
          </cell>
          <cell r="K180">
            <v>4</v>
          </cell>
        </row>
        <row r="181">
          <cell r="A181" t="str">
            <v>C260</v>
          </cell>
          <cell r="B181">
            <v>37.090240000000001</v>
          </cell>
          <cell r="C181">
            <v>-95.712890999999999</v>
          </cell>
          <cell r="D181">
            <v>2015</v>
          </cell>
          <cell r="E181" t="str">
            <v>USA</v>
          </cell>
          <cell r="F181" t="str">
            <v>Wildtype</v>
          </cell>
          <cell r="G181" t="str">
            <v>MAT1-2</v>
          </cell>
          <cell r="H181" t="str">
            <v>Clinical</v>
          </cell>
          <cell r="I181" t="str">
            <v>Wildtype</v>
          </cell>
          <cell r="K181">
            <v>5</v>
          </cell>
        </row>
        <row r="182">
          <cell r="A182" t="str">
            <v>C261</v>
          </cell>
          <cell r="B182">
            <v>37.090240000000001</v>
          </cell>
          <cell r="C182">
            <v>-95.712890999999999</v>
          </cell>
          <cell r="D182">
            <v>2013</v>
          </cell>
          <cell r="E182" t="str">
            <v>USA</v>
          </cell>
          <cell r="F182" t="str">
            <v>P216L</v>
          </cell>
          <cell r="G182" t="str">
            <v>MAT1-2</v>
          </cell>
          <cell r="H182" t="str">
            <v>Clinical</v>
          </cell>
          <cell r="I182" t="str">
            <v>Wildtype</v>
          </cell>
          <cell r="K182">
            <v>4</v>
          </cell>
        </row>
        <row r="183">
          <cell r="A183" t="str">
            <v>C262</v>
          </cell>
          <cell r="B183">
            <v>37.090240000000001</v>
          </cell>
          <cell r="C183">
            <v>-95.712890999999999</v>
          </cell>
          <cell r="E183" t="str">
            <v>USA</v>
          </cell>
          <cell r="F183" t="str">
            <v>Wildtype</v>
          </cell>
          <cell r="G183" t="str">
            <v>MAT1-2</v>
          </cell>
          <cell r="H183" t="str">
            <v>Clinical</v>
          </cell>
          <cell r="I183" t="str">
            <v>Wildtype</v>
          </cell>
          <cell r="K183">
            <v>3</v>
          </cell>
        </row>
        <row r="184">
          <cell r="A184" t="str">
            <v>C263</v>
          </cell>
          <cell r="B184">
            <v>37.090240000000001</v>
          </cell>
          <cell r="C184">
            <v>-95.712890999999999</v>
          </cell>
          <cell r="D184">
            <v>2012</v>
          </cell>
          <cell r="E184" t="str">
            <v>USA</v>
          </cell>
          <cell r="F184" t="str">
            <v>Wildtype</v>
          </cell>
          <cell r="G184" t="str">
            <v>MAT1-2</v>
          </cell>
          <cell r="H184" t="str">
            <v>Clinical</v>
          </cell>
          <cell r="I184" t="str">
            <v>Wildtype</v>
          </cell>
          <cell r="K184">
            <v>1</v>
          </cell>
        </row>
        <row r="185">
          <cell r="A185" t="str">
            <v>C264</v>
          </cell>
          <cell r="B185">
            <v>37.090240000000001</v>
          </cell>
          <cell r="C185">
            <v>-95.712890999999999</v>
          </cell>
          <cell r="D185">
            <v>2011</v>
          </cell>
          <cell r="E185" t="str">
            <v>USA</v>
          </cell>
          <cell r="F185" t="str">
            <v>Wildtype</v>
          </cell>
          <cell r="G185" t="str">
            <v>MAT1-2</v>
          </cell>
          <cell r="H185" t="str">
            <v>Clinical</v>
          </cell>
          <cell r="I185" t="str">
            <v>Wildtype</v>
          </cell>
          <cell r="K185">
            <v>5</v>
          </cell>
        </row>
        <row r="186">
          <cell r="A186" t="str">
            <v>C265</v>
          </cell>
          <cell r="B186">
            <v>37.090240000000001</v>
          </cell>
          <cell r="C186">
            <v>-95.712890999999999</v>
          </cell>
          <cell r="D186">
            <v>2012</v>
          </cell>
          <cell r="E186" t="str">
            <v>USA</v>
          </cell>
          <cell r="F186" t="str">
            <v>Wildtype</v>
          </cell>
          <cell r="G186" t="str">
            <v>MAT1-2</v>
          </cell>
          <cell r="H186" t="str">
            <v>Clinical</v>
          </cell>
          <cell r="I186" t="str">
            <v>Wildtype</v>
          </cell>
          <cell r="K186">
            <v>4</v>
          </cell>
        </row>
        <row r="187">
          <cell r="A187" t="str">
            <v>C266</v>
          </cell>
          <cell r="B187">
            <v>37.090240000000001</v>
          </cell>
          <cell r="C187">
            <v>-95.712890999999999</v>
          </cell>
          <cell r="D187">
            <v>2011</v>
          </cell>
          <cell r="E187" t="str">
            <v>USA</v>
          </cell>
          <cell r="F187" t="str">
            <v>Wildtype</v>
          </cell>
          <cell r="G187" t="str">
            <v>MAT1-2</v>
          </cell>
          <cell r="H187" t="str">
            <v>Clinical</v>
          </cell>
          <cell r="I187" t="str">
            <v>Wildtype</v>
          </cell>
          <cell r="K187">
            <v>4</v>
          </cell>
        </row>
        <row r="188">
          <cell r="A188" t="str">
            <v>C267</v>
          </cell>
          <cell r="B188">
            <v>37.090240000000001</v>
          </cell>
          <cell r="C188">
            <v>-95.712890999999999</v>
          </cell>
          <cell r="D188">
            <v>2010</v>
          </cell>
          <cell r="E188" t="str">
            <v>USA</v>
          </cell>
          <cell r="F188" t="str">
            <v>Wildtype</v>
          </cell>
          <cell r="G188" t="str">
            <v>MAT1-2</v>
          </cell>
          <cell r="H188" t="str">
            <v>Clinical</v>
          </cell>
          <cell r="I188" t="str">
            <v>Wildtype</v>
          </cell>
          <cell r="K188">
            <v>4</v>
          </cell>
        </row>
        <row r="189">
          <cell r="A189" t="str">
            <v>C268</v>
          </cell>
          <cell r="B189">
            <v>37.090240000000001</v>
          </cell>
          <cell r="C189">
            <v>-95.712890999999999</v>
          </cell>
          <cell r="D189">
            <v>2011</v>
          </cell>
          <cell r="E189" t="str">
            <v>USA</v>
          </cell>
          <cell r="F189" t="str">
            <v>Wildtype</v>
          </cell>
          <cell r="G189" t="str">
            <v>MAT1-2</v>
          </cell>
          <cell r="H189" t="str">
            <v>Clinical</v>
          </cell>
          <cell r="I189" t="str">
            <v>Wildtype</v>
          </cell>
          <cell r="K189">
            <v>5</v>
          </cell>
        </row>
        <row r="190">
          <cell r="A190" t="str">
            <v>C269</v>
          </cell>
          <cell r="B190">
            <v>37.090240000000001</v>
          </cell>
          <cell r="C190">
            <v>-95.712890999999999</v>
          </cell>
          <cell r="D190">
            <v>2012</v>
          </cell>
          <cell r="E190" t="str">
            <v>USA</v>
          </cell>
          <cell r="F190" t="str">
            <v>Wildtype</v>
          </cell>
          <cell r="G190" t="str">
            <v>MAT1-2</v>
          </cell>
          <cell r="H190" t="str">
            <v>Clinical</v>
          </cell>
          <cell r="I190" t="str">
            <v>Wildtype</v>
          </cell>
          <cell r="K190">
            <v>5</v>
          </cell>
        </row>
        <row r="191">
          <cell r="A191" t="str">
            <v>C27</v>
          </cell>
          <cell r="B191">
            <v>34.655146000000002</v>
          </cell>
          <cell r="C191">
            <v>133.91950199999999</v>
          </cell>
          <cell r="D191">
            <v>2010</v>
          </cell>
          <cell r="E191" t="str">
            <v>Japan</v>
          </cell>
          <cell r="F191" t="str">
            <v>Wildtype</v>
          </cell>
          <cell r="G191" t="str">
            <v>MAT1-1</v>
          </cell>
          <cell r="H191" t="str">
            <v>Clinical</v>
          </cell>
          <cell r="I191" t="str">
            <v>Wildtype</v>
          </cell>
          <cell r="K191">
            <v>4</v>
          </cell>
        </row>
        <row r="192">
          <cell r="A192" t="str">
            <v>C270</v>
          </cell>
          <cell r="B192">
            <v>37.090240000000001</v>
          </cell>
          <cell r="C192">
            <v>-95.712890999999999</v>
          </cell>
          <cell r="D192">
            <v>2010</v>
          </cell>
          <cell r="E192" t="str">
            <v>USA</v>
          </cell>
          <cell r="F192" t="str">
            <v>Wildtype</v>
          </cell>
          <cell r="G192" t="str">
            <v>MAT1-2</v>
          </cell>
          <cell r="H192" t="str">
            <v>Clinical</v>
          </cell>
          <cell r="I192" t="str">
            <v>Wildtype</v>
          </cell>
          <cell r="K192">
            <v>4</v>
          </cell>
        </row>
        <row r="193">
          <cell r="A193" t="str">
            <v>C271</v>
          </cell>
          <cell r="B193">
            <v>37.090240000000001</v>
          </cell>
          <cell r="C193">
            <v>-95.712890999999999</v>
          </cell>
          <cell r="D193">
            <v>2010</v>
          </cell>
          <cell r="E193" t="str">
            <v>USA</v>
          </cell>
          <cell r="F193" t="str">
            <v>Wildtype</v>
          </cell>
          <cell r="G193" t="str">
            <v>MAT1-2</v>
          </cell>
          <cell r="H193" t="str">
            <v>Clinical</v>
          </cell>
          <cell r="I193" t="str">
            <v>Wildtype</v>
          </cell>
          <cell r="K193">
            <v>4</v>
          </cell>
        </row>
        <row r="194">
          <cell r="A194" t="str">
            <v>C272</v>
          </cell>
          <cell r="B194">
            <v>37.090240000000001</v>
          </cell>
          <cell r="C194">
            <v>-95.712890999999999</v>
          </cell>
          <cell r="D194">
            <v>2010</v>
          </cell>
          <cell r="E194" t="str">
            <v>USA</v>
          </cell>
          <cell r="F194" t="str">
            <v>Wildtype</v>
          </cell>
          <cell r="G194" t="str">
            <v>MAT1-2</v>
          </cell>
          <cell r="H194" t="str">
            <v>Clinical</v>
          </cell>
          <cell r="I194" t="str">
            <v>Wildtype</v>
          </cell>
          <cell r="K194">
            <v>5</v>
          </cell>
        </row>
        <row r="195">
          <cell r="A195" t="str">
            <v>C273</v>
          </cell>
          <cell r="B195">
            <v>37.090240000000001</v>
          </cell>
          <cell r="C195">
            <v>-95.712890999999999</v>
          </cell>
          <cell r="D195">
            <v>2010</v>
          </cell>
          <cell r="E195" t="str">
            <v>USA</v>
          </cell>
          <cell r="F195" t="str">
            <v>Wildtype</v>
          </cell>
          <cell r="G195" t="str">
            <v>MAT1-2</v>
          </cell>
          <cell r="H195" t="str">
            <v>Clinical</v>
          </cell>
          <cell r="I195" t="str">
            <v>Wildtype</v>
          </cell>
          <cell r="K195">
            <v>4</v>
          </cell>
        </row>
        <row r="196">
          <cell r="A196" t="str">
            <v>C274</v>
          </cell>
          <cell r="B196">
            <v>37.090240000000001</v>
          </cell>
          <cell r="C196">
            <v>-95.712890999999999</v>
          </cell>
          <cell r="D196">
            <v>2013</v>
          </cell>
          <cell r="E196" t="str">
            <v>USA</v>
          </cell>
          <cell r="F196" t="str">
            <v>Wildtype</v>
          </cell>
          <cell r="G196" t="str">
            <v>MAT1-2</v>
          </cell>
          <cell r="H196" t="str">
            <v>Clinical</v>
          </cell>
          <cell r="I196" t="str">
            <v>Wildtype</v>
          </cell>
          <cell r="K196">
            <v>4</v>
          </cell>
        </row>
        <row r="197">
          <cell r="A197" t="str">
            <v>C275</v>
          </cell>
          <cell r="B197">
            <v>37.090240000000001</v>
          </cell>
          <cell r="C197">
            <v>-95.712890999999999</v>
          </cell>
          <cell r="D197">
            <v>2011</v>
          </cell>
          <cell r="E197" t="str">
            <v>USA</v>
          </cell>
          <cell r="F197" t="str">
            <v>Wildtype</v>
          </cell>
          <cell r="G197" t="str">
            <v>MAT1-2</v>
          </cell>
          <cell r="H197" t="str">
            <v>Clinical</v>
          </cell>
          <cell r="I197" t="str">
            <v>Wildtype</v>
          </cell>
          <cell r="K197">
            <v>4</v>
          </cell>
        </row>
        <row r="198">
          <cell r="A198" t="str">
            <v>C276</v>
          </cell>
          <cell r="B198">
            <v>37.090240000000001</v>
          </cell>
          <cell r="C198">
            <v>-95.712890999999999</v>
          </cell>
          <cell r="D198">
            <v>2012</v>
          </cell>
          <cell r="E198" t="str">
            <v>USA</v>
          </cell>
          <cell r="F198" t="str">
            <v>Wildtype</v>
          </cell>
          <cell r="G198" t="str">
            <v>MAT1-2</v>
          </cell>
          <cell r="H198" t="str">
            <v>Clinical</v>
          </cell>
          <cell r="I198" t="str">
            <v>Wildtype</v>
          </cell>
          <cell r="K198">
            <v>5</v>
          </cell>
        </row>
        <row r="199">
          <cell r="A199" t="str">
            <v>C277</v>
          </cell>
          <cell r="B199">
            <v>37.090240000000001</v>
          </cell>
          <cell r="C199">
            <v>-95.712890999999999</v>
          </cell>
          <cell r="D199">
            <v>2012</v>
          </cell>
          <cell r="E199" t="str">
            <v>USA</v>
          </cell>
          <cell r="F199" t="str">
            <v>Wildtype</v>
          </cell>
          <cell r="G199" t="str">
            <v>MAT1-2</v>
          </cell>
          <cell r="H199" t="str">
            <v>Clinical</v>
          </cell>
          <cell r="I199" t="str">
            <v>Wildtype</v>
          </cell>
          <cell r="K199">
            <v>5</v>
          </cell>
        </row>
        <row r="200">
          <cell r="A200" t="str">
            <v>C278</v>
          </cell>
          <cell r="B200">
            <v>37.090240000000001</v>
          </cell>
          <cell r="C200">
            <v>-95.712890999999999</v>
          </cell>
          <cell r="D200">
            <v>2012</v>
          </cell>
          <cell r="E200" t="str">
            <v>USA</v>
          </cell>
          <cell r="F200" t="str">
            <v>Wildtype</v>
          </cell>
          <cell r="G200" t="str">
            <v>MAT1-2</v>
          </cell>
          <cell r="H200" t="str">
            <v>Clinical</v>
          </cell>
          <cell r="I200" t="str">
            <v>Wildtype</v>
          </cell>
          <cell r="K200">
            <v>4</v>
          </cell>
        </row>
        <row r="201">
          <cell r="A201" t="str">
            <v>C279</v>
          </cell>
          <cell r="B201">
            <v>37.090240000000001</v>
          </cell>
          <cell r="C201">
            <v>-95.712890999999999</v>
          </cell>
          <cell r="D201">
            <v>2012</v>
          </cell>
          <cell r="E201" t="str">
            <v>USA</v>
          </cell>
          <cell r="F201" t="str">
            <v>Wildtype</v>
          </cell>
          <cell r="G201" t="str">
            <v>MAT1-2</v>
          </cell>
          <cell r="H201" t="str">
            <v>Clinical</v>
          </cell>
          <cell r="I201" t="str">
            <v>Wildtype</v>
          </cell>
          <cell r="K201">
            <v>1</v>
          </cell>
        </row>
        <row r="202">
          <cell r="A202" t="str">
            <v>C28</v>
          </cell>
          <cell r="B202">
            <v>35.605057000000002</v>
          </cell>
          <cell r="C202">
            <v>140.12330600000001</v>
          </cell>
          <cell r="D202">
            <v>2012</v>
          </cell>
          <cell r="E202" t="str">
            <v>Japan</v>
          </cell>
          <cell r="F202" t="str">
            <v>Wildtype</v>
          </cell>
          <cell r="G202" t="str">
            <v>MAT1-1</v>
          </cell>
          <cell r="H202" t="str">
            <v>Clinical</v>
          </cell>
          <cell r="I202" t="str">
            <v>Wildtype</v>
          </cell>
          <cell r="K202">
            <v>4</v>
          </cell>
        </row>
        <row r="203">
          <cell r="A203" t="str">
            <v>C280</v>
          </cell>
          <cell r="B203">
            <v>37.090240000000001</v>
          </cell>
          <cell r="C203">
            <v>-95.712890999999999</v>
          </cell>
          <cell r="D203">
            <v>2012</v>
          </cell>
          <cell r="E203" t="str">
            <v>USA</v>
          </cell>
          <cell r="F203" t="str">
            <v>Wildtype</v>
          </cell>
          <cell r="G203" t="str">
            <v>MAT1-2</v>
          </cell>
          <cell r="H203" t="str">
            <v>Clinical</v>
          </cell>
          <cell r="I203" t="str">
            <v>Wildtype</v>
          </cell>
          <cell r="K203">
            <v>4</v>
          </cell>
        </row>
        <row r="204">
          <cell r="A204" t="str">
            <v>C281</v>
          </cell>
          <cell r="B204">
            <v>37.090240000000001</v>
          </cell>
          <cell r="C204">
            <v>-95.712890999999999</v>
          </cell>
          <cell r="D204">
            <v>2012</v>
          </cell>
          <cell r="E204" t="str">
            <v>USA</v>
          </cell>
          <cell r="F204" t="str">
            <v>Wildtype</v>
          </cell>
          <cell r="G204" t="str">
            <v>MAT1-2</v>
          </cell>
          <cell r="H204" t="str">
            <v>Clinical</v>
          </cell>
          <cell r="I204" t="str">
            <v>Wildtype</v>
          </cell>
          <cell r="K204">
            <v>4</v>
          </cell>
        </row>
        <row r="205">
          <cell r="A205" t="str">
            <v>C282</v>
          </cell>
          <cell r="B205">
            <v>37.090240000000001</v>
          </cell>
          <cell r="C205">
            <v>-95.712890999999999</v>
          </cell>
          <cell r="D205">
            <v>2011</v>
          </cell>
          <cell r="E205" t="str">
            <v>USA</v>
          </cell>
          <cell r="F205" t="str">
            <v>Wildtype</v>
          </cell>
          <cell r="G205" t="str">
            <v>MAT1-2</v>
          </cell>
          <cell r="H205" t="str">
            <v>Clinical</v>
          </cell>
          <cell r="I205" t="str">
            <v>Wildtype</v>
          </cell>
          <cell r="K205">
            <v>1</v>
          </cell>
        </row>
        <row r="206">
          <cell r="A206" t="str">
            <v>C283</v>
          </cell>
          <cell r="B206">
            <v>32.165622999999997</v>
          </cell>
          <cell r="C206">
            <v>-82.900077999999993</v>
          </cell>
          <cell r="E206" t="str">
            <v>USA</v>
          </cell>
          <cell r="F206" t="str">
            <v>Wildtype</v>
          </cell>
          <cell r="G206" t="str">
            <v>MAT1-2</v>
          </cell>
          <cell r="H206" t="str">
            <v>Clinical</v>
          </cell>
          <cell r="I206" t="str">
            <v>Wildtype</v>
          </cell>
          <cell r="K206">
            <v>5</v>
          </cell>
        </row>
        <row r="207">
          <cell r="A207" t="str">
            <v>C284</v>
          </cell>
          <cell r="B207">
            <v>35.517490000000002</v>
          </cell>
          <cell r="C207">
            <v>-86.580444</v>
          </cell>
          <cell r="E207" t="str">
            <v>USA</v>
          </cell>
          <cell r="F207" t="str">
            <v>Wildtype</v>
          </cell>
          <cell r="G207" t="str">
            <v>MAT1-2</v>
          </cell>
          <cell r="H207" t="str">
            <v>Clinical</v>
          </cell>
          <cell r="I207" t="str">
            <v>Wildtype</v>
          </cell>
          <cell r="K207">
            <v>4</v>
          </cell>
        </row>
        <row r="208">
          <cell r="A208" t="str">
            <v>C285</v>
          </cell>
          <cell r="B208">
            <v>41.203322999999997</v>
          </cell>
          <cell r="C208">
            <v>-77.194526999999994</v>
          </cell>
          <cell r="E208" t="str">
            <v>USA</v>
          </cell>
          <cell r="F208" t="str">
            <v>Wildtype</v>
          </cell>
          <cell r="G208" t="str">
            <v>MAT1-2</v>
          </cell>
          <cell r="H208" t="str">
            <v>Environmental</v>
          </cell>
          <cell r="I208" t="str">
            <v>Wildtype</v>
          </cell>
          <cell r="K208">
            <v>4</v>
          </cell>
        </row>
        <row r="209">
          <cell r="A209" t="str">
            <v>C286</v>
          </cell>
          <cell r="B209">
            <v>40.267192999999999</v>
          </cell>
          <cell r="C209">
            <v>-86.134902999999994</v>
          </cell>
          <cell r="E209" t="str">
            <v>USA</v>
          </cell>
          <cell r="F209" t="str">
            <v>Wildtype</v>
          </cell>
          <cell r="G209" t="str">
            <v>MAT1-2</v>
          </cell>
          <cell r="H209" t="str">
            <v>Environmental</v>
          </cell>
          <cell r="I209" t="str">
            <v>Wildtype</v>
          </cell>
          <cell r="K209">
            <v>4</v>
          </cell>
        </row>
        <row r="210">
          <cell r="A210" t="str">
            <v>C287</v>
          </cell>
          <cell r="B210">
            <v>40.267192999999999</v>
          </cell>
          <cell r="C210">
            <v>-86.134902999999994</v>
          </cell>
          <cell r="E210" t="str">
            <v>USA</v>
          </cell>
          <cell r="F210" t="str">
            <v>Wildtype</v>
          </cell>
          <cell r="G210" t="str">
            <v>MAT1-2</v>
          </cell>
          <cell r="H210" t="str">
            <v>Environmental</v>
          </cell>
          <cell r="I210" t="str">
            <v>Wildtype</v>
          </cell>
          <cell r="K210">
            <v>4</v>
          </cell>
        </row>
        <row r="211">
          <cell r="A211" t="str">
            <v>C288</v>
          </cell>
          <cell r="B211">
            <v>38.907192000000002</v>
          </cell>
          <cell r="C211">
            <v>-77.036873</v>
          </cell>
          <cell r="E211" t="str">
            <v>USA</v>
          </cell>
          <cell r="F211" t="str">
            <v>Wildtype</v>
          </cell>
          <cell r="G211" t="str">
            <v>MAT1-2</v>
          </cell>
          <cell r="H211" t="str">
            <v>Environmental</v>
          </cell>
          <cell r="I211" t="str">
            <v>Wildtype</v>
          </cell>
          <cell r="K211">
            <v>4</v>
          </cell>
        </row>
        <row r="212">
          <cell r="A212" t="str">
            <v>C289</v>
          </cell>
          <cell r="B212">
            <v>40.712775999999998</v>
          </cell>
          <cell r="C212">
            <v>-74.005973999999995</v>
          </cell>
          <cell r="E212" t="str">
            <v>USA</v>
          </cell>
          <cell r="F212" t="str">
            <v>Wildtype</v>
          </cell>
          <cell r="G212" t="str">
            <v>MAT1-2</v>
          </cell>
          <cell r="H212" t="str">
            <v>Environmental</v>
          </cell>
          <cell r="I212" t="str">
            <v>Wildtype</v>
          </cell>
          <cell r="K212">
            <v>4</v>
          </cell>
        </row>
        <row r="213">
          <cell r="A213" t="str">
            <v>C29</v>
          </cell>
          <cell r="B213">
            <v>34.693738000000003</v>
          </cell>
          <cell r="C213">
            <v>135.50216499999999</v>
          </cell>
          <cell r="D213">
            <v>2012</v>
          </cell>
          <cell r="E213" t="str">
            <v>Japan</v>
          </cell>
          <cell r="F213" t="str">
            <v>Wildtype</v>
          </cell>
          <cell r="G213" t="str">
            <v>MAT1-2</v>
          </cell>
          <cell r="H213" t="str">
            <v>Clinical</v>
          </cell>
          <cell r="I213" t="str">
            <v>Wildtype</v>
          </cell>
          <cell r="K213">
            <v>4</v>
          </cell>
        </row>
        <row r="214">
          <cell r="A214" t="str">
            <v>C290</v>
          </cell>
          <cell r="B214">
            <v>32.165622999999997</v>
          </cell>
          <cell r="C214">
            <v>-82.900077999999993</v>
          </cell>
          <cell r="E214" t="str">
            <v>USA</v>
          </cell>
          <cell r="F214" t="str">
            <v>Wildtype</v>
          </cell>
          <cell r="G214" t="str">
            <v>MAT1-2</v>
          </cell>
          <cell r="H214" t="str">
            <v>Clinical</v>
          </cell>
          <cell r="I214" t="str">
            <v>Wildtype</v>
          </cell>
          <cell r="K214">
            <v>4</v>
          </cell>
        </row>
        <row r="215">
          <cell r="A215" t="str">
            <v>C291</v>
          </cell>
          <cell r="B215">
            <v>41.203322999999997</v>
          </cell>
          <cell r="C215">
            <v>-77.194526999999994</v>
          </cell>
          <cell r="E215" t="str">
            <v>USA</v>
          </cell>
          <cell r="F215" t="str">
            <v>Wildtype</v>
          </cell>
          <cell r="G215" t="str">
            <v>MAT1-2</v>
          </cell>
          <cell r="H215" t="str">
            <v>Environmental</v>
          </cell>
          <cell r="I215" t="str">
            <v>Wildtype</v>
          </cell>
          <cell r="K215">
            <v>4</v>
          </cell>
        </row>
        <row r="216">
          <cell r="A216" t="str">
            <v>C292</v>
          </cell>
          <cell r="B216">
            <v>36.778258999999998</v>
          </cell>
          <cell r="C216">
            <v>-119.417931</v>
          </cell>
          <cell r="E216" t="str">
            <v>USA</v>
          </cell>
          <cell r="F216" t="str">
            <v>Wildtype</v>
          </cell>
          <cell r="G216" t="str">
            <v>MAT1-2</v>
          </cell>
          <cell r="H216" t="str">
            <v>Clinical</v>
          </cell>
          <cell r="I216" t="str">
            <v>Wildtype</v>
          </cell>
          <cell r="K216">
            <v>4</v>
          </cell>
        </row>
        <row r="217">
          <cell r="A217" t="str">
            <v>C293</v>
          </cell>
          <cell r="B217">
            <v>36.778258999999998</v>
          </cell>
          <cell r="C217">
            <v>-119.417931</v>
          </cell>
          <cell r="E217" t="str">
            <v>USA</v>
          </cell>
          <cell r="F217" t="str">
            <v>Wildtype</v>
          </cell>
          <cell r="G217" t="str">
            <v>MAT1-2</v>
          </cell>
          <cell r="H217" t="str">
            <v>Clinical</v>
          </cell>
          <cell r="I217" t="str">
            <v>Wildtype</v>
          </cell>
          <cell r="K217">
            <v>4</v>
          </cell>
        </row>
        <row r="218">
          <cell r="A218" t="str">
            <v>C294</v>
          </cell>
          <cell r="B218">
            <v>36.778258999999998</v>
          </cell>
          <cell r="C218">
            <v>-119.417931</v>
          </cell>
          <cell r="E218" t="str">
            <v>USA</v>
          </cell>
          <cell r="F218" t="str">
            <v>Wildtype</v>
          </cell>
          <cell r="G218" t="str">
            <v>MAT1-2</v>
          </cell>
          <cell r="H218" t="str">
            <v>Environmental</v>
          </cell>
          <cell r="I218" t="str">
            <v>Wildtype</v>
          </cell>
          <cell r="K218">
            <v>5</v>
          </cell>
        </row>
        <row r="219">
          <cell r="A219" t="str">
            <v>C295</v>
          </cell>
          <cell r="B219">
            <v>45.253784000000003</v>
          </cell>
          <cell r="C219">
            <v>-69.445473000000007</v>
          </cell>
          <cell r="E219" t="str">
            <v>USA</v>
          </cell>
          <cell r="F219" t="str">
            <v>Wildtype</v>
          </cell>
          <cell r="G219" t="str">
            <v>MAT1-2</v>
          </cell>
          <cell r="H219" t="str">
            <v>Clinical</v>
          </cell>
          <cell r="I219" t="str">
            <v>Wildtype</v>
          </cell>
          <cell r="K219">
            <v>4</v>
          </cell>
        </row>
        <row r="220">
          <cell r="A220" t="str">
            <v>C296</v>
          </cell>
          <cell r="B220">
            <v>39.550052999999998</v>
          </cell>
          <cell r="C220">
            <v>-105.782066</v>
          </cell>
          <cell r="E220" t="str">
            <v>USA</v>
          </cell>
          <cell r="F220" t="str">
            <v>Wildtype</v>
          </cell>
          <cell r="G220" t="str">
            <v>MAT1-2</v>
          </cell>
          <cell r="H220" t="str">
            <v>Clinical</v>
          </cell>
          <cell r="I220" t="str">
            <v>Wildtype</v>
          </cell>
          <cell r="K220">
            <v>5</v>
          </cell>
        </row>
        <row r="221">
          <cell r="A221" t="str">
            <v>C297</v>
          </cell>
          <cell r="B221">
            <v>39.550052999999998</v>
          </cell>
          <cell r="C221">
            <v>-105.782066</v>
          </cell>
          <cell r="E221" t="str">
            <v>USA</v>
          </cell>
          <cell r="F221" t="str">
            <v>Wildtype</v>
          </cell>
          <cell r="G221" t="str">
            <v>MAT1-2</v>
          </cell>
          <cell r="H221" t="str">
            <v>Clinical</v>
          </cell>
          <cell r="I221" t="str">
            <v>Wildtype</v>
          </cell>
          <cell r="K221">
            <v>5</v>
          </cell>
        </row>
        <row r="222">
          <cell r="A222" t="str">
            <v>C298</v>
          </cell>
          <cell r="B222">
            <v>32.165622999999997</v>
          </cell>
          <cell r="C222">
            <v>-82.900077999999993</v>
          </cell>
          <cell r="E222" t="str">
            <v>USA</v>
          </cell>
          <cell r="F222" t="str">
            <v>Wildtype</v>
          </cell>
          <cell r="G222" t="str">
            <v>MAT1-2</v>
          </cell>
          <cell r="H222" t="str">
            <v>Clinical</v>
          </cell>
          <cell r="I222" t="str">
            <v>Wildtype</v>
          </cell>
          <cell r="K222">
            <v>4</v>
          </cell>
        </row>
        <row r="223">
          <cell r="A223" t="str">
            <v>C299</v>
          </cell>
          <cell r="B223">
            <v>44.314841999999999</v>
          </cell>
          <cell r="C223">
            <v>-85.602363999999994</v>
          </cell>
          <cell r="E223" t="str">
            <v>USA</v>
          </cell>
          <cell r="F223" t="str">
            <v>Wildtype</v>
          </cell>
          <cell r="G223" t="str">
            <v>MAT1-2</v>
          </cell>
          <cell r="H223" t="str">
            <v>Clinical</v>
          </cell>
          <cell r="I223" t="str">
            <v>Wildtype</v>
          </cell>
          <cell r="K223">
            <v>5</v>
          </cell>
        </row>
        <row r="224">
          <cell r="A224" t="str">
            <v>C3</v>
          </cell>
          <cell r="B224">
            <v>53.800755000000002</v>
          </cell>
          <cell r="C224">
            <v>-1.549077</v>
          </cell>
          <cell r="D224">
            <v>2009</v>
          </cell>
          <cell r="E224" t="str">
            <v>UK</v>
          </cell>
          <cell r="F224" t="str">
            <v>Wildtype</v>
          </cell>
          <cell r="G224" t="str">
            <v>MAT1-2</v>
          </cell>
          <cell r="H224" t="str">
            <v>Clinical</v>
          </cell>
          <cell r="I224" t="str">
            <v>Wildtype</v>
          </cell>
          <cell r="J224">
            <v>1</v>
          </cell>
          <cell r="K224">
            <v>4</v>
          </cell>
        </row>
        <row r="225">
          <cell r="A225" t="str">
            <v>C30</v>
          </cell>
          <cell r="B225">
            <v>35.180188000000001</v>
          </cell>
          <cell r="C225">
            <v>136.906565</v>
          </cell>
          <cell r="D225">
            <v>2013</v>
          </cell>
          <cell r="E225" t="str">
            <v>Japan</v>
          </cell>
          <cell r="F225" t="str">
            <v>Wildtype</v>
          </cell>
          <cell r="G225" t="str">
            <v>MAT1-1</v>
          </cell>
          <cell r="H225" t="str">
            <v>Clinical</v>
          </cell>
          <cell r="I225" t="str">
            <v>Wildtype</v>
          </cell>
          <cell r="K225">
            <v>4</v>
          </cell>
        </row>
        <row r="226">
          <cell r="A226" t="str">
            <v>C300</v>
          </cell>
          <cell r="B226">
            <v>53.487746299999998</v>
          </cell>
          <cell r="C226">
            <v>-2.2891921000000002</v>
          </cell>
          <cell r="E226" t="str">
            <v>UK</v>
          </cell>
          <cell r="F226" t="str">
            <v>Wildtype</v>
          </cell>
          <cell r="G226" t="str">
            <v>MAT1-2</v>
          </cell>
          <cell r="H226" t="str">
            <v>Environmental</v>
          </cell>
          <cell r="I226" t="str">
            <v>Wildtype</v>
          </cell>
          <cell r="K226">
            <v>4</v>
          </cell>
        </row>
        <row r="227">
          <cell r="A227" t="str">
            <v>C301</v>
          </cell>
          <cell r="B227">
            <v>53.487746299999998</v>
          </cell>
          <cell r="C227">
            <v>-2.2891921000000002</v>
          </cell>
          <cell r="E227" t="str">
            <v>UK</v>
          </cell>
          <cell r="F227" t="str">
            <v>Wildtype</v>
          </cell>
          <cell r="G227" t="str">
            <v>MAT1-2</v>
          </cell>
          <cell r="H227" t="str">
            <v>Environmental</v>
          </cell>
          <cell r="I227" t="str">
            <v>Wildtype</v>
          </cell>
          <cell r="K227">
            <v>5</v>
          </cell>
        </row>
        <row r="228">
          <cell r="A228" t="str">
            <v>C302</v>
          </cell>
          <cell r="B228">
            <v>36.778258999999998</v>
          </cell>
          <cell r="C228">
            <v>-119.417931</v>
          </cell>
          <cell r="E228" t="str">
            <v>USA</v>
          </cell>
          <cell r="F228" t="str">
            <v>Wildtype</v>
          </cell>
          <cell r="G228" t="str">
            <v>MAT1-2</v>
          </cell>
          <cell r="H228" t="str">
            <v>Clinical</v>
          </cell>
          <cell r="I228" t="str">
            <v>Wildtype</v>
          </cell>
          <cell r="K228">
            <v>5</v>
          </cell>
        </row>
        <row r="229">
          <cell r="A229" t="str">
            <v>C303</v>
          </cell>
          <cell r="B229">
            <v>34.048926999999999</v>
          </cell>
          <cell r="C229">
            <v>-111.093735</v>
          </cell>
          <cell r="E229" t="str">
            <v>USA</v>
          </cell>
          <cell r="F229" t="str">
            <v>Wildtype</v>
          </cell>
          <cell r="G229" t="str">
            <v>MAT1-2</v>
          </cell>
          <cell r="H229" t="str">
            <v>Clinical</v>
          </cell>
          <cell r="I229" t="str">
            <v>Wildtype</v>
          </cell>
          <cell r="K229">
            <v>4</v>
          </cell>
        </row>
        <row r="230">
          <cell r="A230" t="str">
            <v>C304</v>
          </cell>
          <cell r="B230">
            <v>38.907192000000002</v>
          </cell>
          <cell r="C230">
            <v>-77.036873</v>
          </cell>
          <cell r="E230" t="str">
            <v>USA</v>
          </cell>
          <cell r="F230" t="str">
            <v>Wildtype</v>
          </cell>
          <cell r="G230" t="str">
            <v>MAT1-2</v>
          </cell>
          <cell r="H230" t="str">
            <v>Clinical</v>
          </cell>
          <cell r="I230" t="str">
            <v>Wildtype</v>
          </cell>
          <cell r="K230">
            <v>4</v>
          </cell>
        </row>
        <row r="231">
          <cell r="A231" t="str">
            <v>C305</v>
          </cell>
          <cell r="B231">
            <v>34.519939000000001</v>
          </cell>
          <cell r="C231">
            <v>-105.870087</v>
          </cell>
          <cell r="E231" t="str">
            <v>USA</v>
          </cell>
          <cell r="F231" t="str">
            <v>Wildtype</v>
          </cell>
          <cell r="G231" t="str">
            <v>MAT1-2</v>
          </cell>
          <cell r="H231" t="str">
            <v>Clinical (listed as Environmental in Cramer lab database)</v>
          </cell>
          <cell r="I231" t="str">
            <v>Wildtype</v>
          </cell>
          <cell r="K231">
            <v>4</v>
          </cell>
        </row>
        <row r="232">
          <cell r="A232" t="str">
            <v>C306</v>
          </cell>
          <cell r="B232">
            <v>51.488709</v>
          </cell>
          <cell r="C232">
            <v>-0.17050799999999999</v>
          </cell>
          <cell r="D232">
            <v>2016</v>
          </cell>
          <cell r="E232" t="str">
            <v>UK</v>
          </cell>
          <cell r="F232" t="str">
            <v>TR34/L98H</v>
          </cell>
          <cell r="G232" t="str">
            <v>MAT1-1</v>
          </cell>
          <cell r="H232" t="str">
            <v>Clinical</v>
          </cell>
          <cell r="I232" t="str">
            <v>Wildtype</v>
          </cell>
          <cell r="K232">
            <v>3</v>
          </cell>
        </row>
        <row r="233">
          <cell r="A233" t="str">
            <v>C307</v>
          </cell>
          <cell r="B233">
            <v>51.488709</v>
          </cell>
          <cell r="C233">
            <v>-0.17050799999999999</v>
          </cell>
          <cell r="D233">
            <v>2017</v>
          </cell>
          <cell r="E233" t="str">
            <v>UK</v>
          </cell>
          <cell r="F233" t="str">
            <v>TR34/L98H</v>
          </cell>
          <cell r="G233" t="str">
            <v>MAT1-1</v>
          </cell>
          <cell r="H233" t="str">
            <v>Clinical</v>
          </cell>
          <cell r="I233" t="str">
            <v>Wildtype</v>
          </cell>
          <cell r="K233">
            <v>3</v>
          </cell>
        </row>
        <row r="234">
          <cell r="A234" t="str">
            <v>C308</v>
          </cell>
          <cell r="B234">
            <v>51.488709</v>
          </cell>
          <cell r="C234">
            <v>-0.17050799999999999</v>
          </cell>
          <cell r="D234">
            <v>2018</v>
          </cell>
          <cell r="E234" t="str">
            <v>UK</v>
          </cell>
          <cell r="F234" t="str">
            <v>TR34/L98H</v>
          </cell>
          <cell r="G234" t="str">
            <v>MAT1-1</v>
          </cell>
          <cell r="H234" t="str">
            <v>Clinical</v>
          </cell>
          <cell r="I234" t="str">
            <v>Wildtype</v>
          </cell>
          <cell r="K234">
            <v>3</v>
          </cell>
        </row>
        <row r="235">
          <cell r="A235" t="str">
            <v>C309</v>
          </cell>
          <cell r="B235">
            <v>51.488709</v>
          </cell>
          <cell r="C235">
            <v>-0.17050799999999999</v>
          </cell>
          <cell r="D235">
            <v>2018</v>
          </cell>
          <cell r="E235" t="str">
            <v>UK</v>
          </cell>
          <cell r="F235" t="str">
            <v>TR34/L98H</v>
          </cell>
          <cell r="G235" t="str">
            <v>MAT1-2</v>
          </cell>
          <cell r="H235" t="str">
            <v>Clinical</v>
          </cell>
          <cell r="I235" t="str">
            <v>Wildtype</v>
          </cell>
          <cell r="K235">
            <v>2</v>
          </cell>
        </row>
        <row r="236">
          <cell r="A236" t="str">
            <v>C31</v>
          </cell>
          <cell r="B236">
            <v>35.689487</v>
          </cell>
          <cell r="C236">
            <v>139.69170600000001</v>
          </cell>
          <cell r="D236">
            <v>2014</v>
          </cell>
          <cell r="E236" t="str">
            <v>Japan</v>
          </cell>
          <cell r="F236" t="str">
            <v>Wildtype</v>
          </cell>
          <cell r="G236" t="str">
            <v>MAT1-1</v>
          </cell>
          <cell r="H236" t="str">
            <v>Clinical</v>
          </cell>
          <cell r="I236" t="str">
            <v>Wildtype</v>
          </cell>
          <cell r="K236">
            <v>4</v>
          </cell>
        </row>
        <row r="237">
          <cell r="A237" t="str">
            <v>C310</v>
          </cell>
          <cell r="B237">
            <v>51.488709</v>
          </cell>
          <cell r="C237">
            <v>-0.17050799999999999</v>
          </cell>
          <cell r="D237">
            <v>2016</v>
          </cell>
          <cell r="E237" t="str">
            <v>UK</v>
          </cell>
          <cell r="F237" t="str">
            <v>TR34/L98H</v>
          </cell>
          <cell r="G237" t="str">
            <v>MAT1-1</v>
          </cell>
          <cell r="H237" t="str">
            <v>Clinical</v>
          </cell>
          <cell r="I237" t="str">
            <v>Wildtype</v>
          </cell>
          <cell r="K237">
            <v>2</v>
          </cell>
        </row>
        <row r="238">
          <cell r="A238" t="str">
            <v>C311</v>
          </cell>
          <cell r="B238">
            <v>51.488709</v>
          </cell>
          <cell r="C238">
            <v>-0.17050799999999999</v>
          </cell>
          <cell r="D238">
            <v>2017</v>
          </cell>
          <cell r="E238" t="str">
            <v>UK</v>
          </cell>
          <cell r="F238" t="str">
            <v>Wildtype</v>
          </cell>
          <cell r="G238" t="str">
            <v>MAT1-2</v>
          </cell>
          <cell r="H238" t="str">
            <v>Clinical</v>
          </cell>
          <cell r="I238" t="str">
            <v>Wildtype</v>
          </cell>
          <cell r="K238">
            <v>5</v>
          </cell>
        </row>
        <row r="239">
          <cell r="A239" t="str">
            <v>C312</v>
          </cell>
          <cell r="B239">
            <v>51.488709</v>
          </cell>
          <cell r="C239">
            <v>-0.17050799999999999</v>
          </cell>
          <cell r="D239">
            <v>2015</v>
          </cell>
          <cell r="E239" t="str">
            <v>UK</v>
          </cell>
          <cell r="F239" t="str">
            <v>Wildtype</v>
          </cell>
          <cell r="G239" t="str">
            <v>MAT1-1</v>
          </cell>
          <cell r="H239" t="str">
            <v>Clinical</v>
          </cell>
          <cell r="I239" t="str">
            <v>Wildtype</v>
          </cell>
          <cell r="K239">
            <v>4</v>
          </cell>
        </row>
        <row r="240">
          <cell r="A240" t="str">
            <v>C313</v>
          </cell>
          <cell r="B240">
            <v>51.488709</v>
          </cell>
          <cell r="C240">
            <v>-0.17050799999999999</v>
          </cell>
          <cell r="D240">
            <v>2017</v>
          </cell>
          <cell r="E240" t="str">
            <v>UK</v>
          </cell>
          <cell r="F240" t="str">
            <v>Wildtype</v>
          </cell>
          <cell r="G240" t="str">
            <v>MAT1-1</v>
          </cell>
          <cell r="H240" t="str">
            <v>Clinical</v>
          </cell>
          <cell r="I240" t="str">
            <v>Wildtype</v>
          </cell>
          <cell r="J240" t="str">
            <v>&gt;4</v>
          </cell>
          <cell r="K240">
            <v>4</v>
          </cell>
        </row>
        <row r="241">
          <cell r="A241" t="str">
            <v>C314</v>
          </cell>
          <cell r="B241">
            <v>51.488709</v>
          </cell>
          <cell r="C241">
            <v>-0.17050799999999999</v>
          </cell>
          <cell r="D241">
            <v>2017</v>
          </cell>
          <cell r="E241" t="str">
            <v>UK</v>
          </cell>
          <cell r="F241" t="str">
            <v>Wildtype</v>
          </cell>
          <cell r="G241" t="str">
            <v>MAT1-1</v>
          </cell>
          <cell r="H241" t="str">
            <v>Clinical</v>
          </cell>
          <cell r="I241" t="str">
            <v>Wildtype</v>
          </cell>
          <cell r="K241">
            <v>1</v>
          </cell>
        </row>
        <row r="242">
          <cell r="A242" t="str">
            <v>C315</v>
          </cell>
          <cell r="B242">
            <v>51.488709</v>
          </cell>
          <cell r="C242">
            <v>-0.17050799999999999</v>
          </cell>
          <cell r="D242">
            <v>2017</v>
          </cell>
          <cell r="E242" t="str">
            <v>UK</v>
          </cell>
          <cell r="F242" t="str">
            <v>Wildtype</v>
          </cell>
          <cell r="G242" t="str">
            <v>MAT1-1</v>
          </cell>
          <cell r="H242" t="str">
            <v>Clinical</v>
          </cell>
          <cell r="I242" t="str">
            <v>Wildtype</v>
          </cell>
          <cell r="K242">
            <v>4</v>
          </cell>
        </row>
        <row r="243">
          <cell r="A243" t="str">
            <v>C316</v>
          </cell>
          <cell r="B243">
            <v>51.488709</v>
          </cell>
          <cell r="C243">
            <v>-0.17050799999999999</v>
          </cell>
          <cell r="D243">
            <v>2017</v>
          </cell>
          <cell r="E243" t="str">
            <v>UK</v>
          </cell>
          <cell r="F243" t="str">
            <v>Wildtype</v>
          </cell>
          <cell r="G243" t="str">
            <v>MAT1-1</v>
          </cell>
          <cell r="H243" t="str">
            <v>Clinical</v>
          </cell>
          <cell r="I243" t="str">
            <v>Wildtype</v>
          </cell>
          <cell r="K243">
            <v>4</v>
          </cell>
        </row>
        <row r="244">
          <cell r="A244" t="str">
            <v>C317</v>
          </cell>
          <cell r="B244">
            <v>51.488709</v>
          </cell>
          <cell r="C244">
            <v>-0.17050799999999999</v>
          </cell>
          <cell r="D244">
            <v>2016</v>
          </cell>
          <cell r="E244" t="str">
            <v>UK</v>
          </cell>
          <cell r="F244" t="str">
            <v>M220K</v>
          </cell>
          <cell r="G244" t="str">
            <v>MAT1-1</v>
          </cell>
          <cell r="H244" t="str">
            <v>Clinical</v>
          </cell>
          <cell r="I244" t="str">
            <v>Wildtype</v>
          </cell>
          <cell r="K244">
            <v>4</v>
          </cell>
        </row>
        <row r="245">
          <cell r="A245" t="str">
            <v>C318</v>
          </cell>
          <cell r="B245">
            <v>51.488709</v>
          </cell>
          <cell r="C245">
            <v>-0.17050799999999999</v>
          </cell>
          <cell r="D245">
            <v>2018</v>
          </cell>
          <cell r="E245" t="str">
            <v>UK</v>
          </cell>
          <cell r="F245" t="str">
            <v>TR34/L98H</v>
          </cell>
          <cell r="G245" t="str">
            <v>MAT1-1</v>
          </cell>
          <cell r="H245" t="str">
            <v>Clinical</v>
          </cell>
          <cell r="I245" t="str">
            <v>Wildtype</v>
          </cell>
          <cell r="K245">
            <v>4</v>
          </cell>
        </row>
        <row r="246">
          <cell r="A246" t="str">
            <v>C319</v>
          </cell>
          <cell r="B246">
            <v>51.488709</v>
          </cell>
          <cell r="C246">
            <v>-0.17050799999999999</v>
          </cell>
          <cell r="D246">
            <v>2017</v>
          </cell>
          <cell r="E246" t="str">
            <v>UK</v>
          </cell>
          <cell r="F246" t="str">
            <v>TR34/L98H</v>
          </cell>
          <cell r="G246" t="str">
            <v>MAT1-1</v>
          </cell>
          <cell r="H246" t="str">
            <v>Clinical</v>
          </cell>
          <cell r="I246" t="str">
            <v>F219Y</v>
          </cell>
          <cell r="J246" t="str">
            <v>&gt;4</v>
          </cell>
          <cell r="K246">
            <v>3</v>
          </cell>
        </row>
        <row r="247">
          <cell r="A247" t="str">
            <v>C32</v>
          </cell>
          <cell r="B247">
            <v>48.856613000000003</v>
          </cell>
          <cell r="C247">
            <v>2.3522219999999998</v>
          </cell>
          <cell r="D247">
            <v>1989</v>
          </cell>
          <cell r="E247" t="str">
            <v>France</v>
          </cell>
          <cell r="F247" t="str">
            <v>Wildtype</v>
          </cell>
          <cell r="G247" t="str">
            <v>MAT1-1</v>
          </cell>
          <cell r="H247" t="str">
            <v>Clinical</v>
          </cell>
          <cell r="I247" t="str">
            <v>Wildtype</v>
          </cell>
          <cell r="K247">
            <v>4</v>
          </cell>
        </row>
        <row r="248">
          <cell r="A248" t="str">
            <v>C320</v>
          </cell>
          <cell r="B248">
            <v>51.488709</v>
          </cell>
          <cell r="C248">
            <v>-0.17050799999999999</v>
          </cell>
          <cell r="D248">
            <v>2016</v>
          </cell>
          <cell r="E248" t="str">
            <v>UK</v>
          </cell>
          <cell r="F248" t="str">
            <v>TR34/L98H</v>
          </cell>
          <cell r="G248" t="str">
            <v>MAT1-1</v>
          </cell>
          <cell r="H248" t="str">
            <v>Clinical</v>
          </cell>
          <cell r="I248" t="str">
            <v>Wildtype</v>
          </cell>
          <cell r="J248" t="str">
            <v>&gt;4</v>
          </cell>
          <cell r="K248">
            <v>2</v>
          </cell>
        </row>
        <row r="249">
          <cell r="A249" t="str">
            <v>C321</v>
          </cell>
          <cell r="B249">
            <v>51.488709</v>
          </cell>
          <cell r="C249">
            <v>-0.17050799999999999</v>
          </cell>
          <cell r="D249">
            <v>2017</v>
          </cell>
          <cell r="E249" t="str">
            <v>UK</v>
          </cell>
          <cell r="F249" t="str">
            <v>TR34/L98H</v>
          </cell>
          <cell r="G249" t="str">
            <v>MAT1-1</v>
          </cell>
          <cell r="H249" t="str">
            <v>Clinical</v>
          </cell>
          <cell r="I249" t="str">
            <v>Wildtype</v>
          </cell>
          <cell r="K249">
            <v>2</v>
          </cell>
        </row>
        <row r="250">
          <cell r="A250" t="str">
            <v>C322</v>
          </cell>
          <cell r="B250">
            <v>51.488709</v>
          </cell>
          <cell r="C250">
            <v>-0.17050799999999999</v>
          </cell>
          <cell r="D250">
            <v>2018</v>
          </cell>
          <cell r="E250" t="str">
            <v>UK</v>
          </cell>
          <cell r="F250" t="str">
            <v>TR34/L98H</v>
          </cell>
          <cell r="G250" t="str">
            <v>MAT1-1</v>
          </cell>
          <cell r="H250" t="str">
            <v>Clinical</v>
          </cell>
          <cell r="I250" t="str">
            <v>Wildtype</v>
          </cell>
          <cell r="K250">
            <v>2</v>
          </cell>
        </row>
        <row r="251">
          <cell r="A251" t="str">
            <v>C323</v>
          </cell>
          <cell r="B251">
            <v>51.488709</v>
          </cell>
          <cell r="C251">
            <v>-0.17050799999999999</v>
          </cell>
          <cell r="D251">
            <v>2017</v>
          </cell>
          <cell r="E251" t="str">
            <v>UK</v>
          </cell>
          <cell r="F251" t="str">
            <v>TR34/L98H</v>
          </cell>
          <cell r="G251" t="str">
            <v>MAT1-2</v>
          </cell>
          <cell r="H251" t="str">
            <v>Clinical</v>
          </cell>
          <cell r="I251" t="str">
            <v>Wildtype</v>
          </cell>
          <cell r="J251" t="str">
            <v>&gt;4</v>
          </cell>
          <cell r="K251">
            <v>2</v>
          </cell>
        </row>
        <row r="252">
          <cell r="A252" t="str">
            <v>C324</v>
          </cell>
          <cell r="B252">
            <v>51.488709</v>
          </cell>
          <cell r="C252">
            <v>-0.17050799999999999</v>
          </cell>
          <cell r="D252">
            <v>2015</v>
          </cell>
          <cell r="E252" t="str">
            <v>UK</v>
          </cell>
          <cell r="F252" t="str">
            <v>Wildtype</v>
          </cell>
          <cell r="G252" t="str">
            <v>MAT1-2</v>
          </cell>
          <cell r="H252" t="str">
            <v>Clinical</v>
          </cell>
          <cell r="I252" t="str">
            <v>Wildtype</v>
          </cell>
          <cell r="K252">
            <v>5</v>
          </cell>
        </row>
        <row r="253">
          <cell r="A253" t="str">
            <v>C325</v>
          </cell>
          <cell r="B253">
            <v>51.488709</v>
          </cell>
          <cell r="C253">
            <v>-0.17050799999999999</v>
          </cell>
          <cell r="D253">
            <v>2017</v>
          </cell>
          <cell r="E253" t="str">
            <v>UK</v>
          </cell>
          <cell r="F253" t="str">
            <v>Wildtype</v>
          </cell>
          <cell r="G253" t="str">
            <v>MAT1-2</v>
          </cell>
          <cell r="H253" t="str">
            <v>Clinical</v>
          </cell>
          <cell r="I253" t="str">
            <v>Wildtype</v>
          </cell>
          <cell r="J253">
            <v>2</v>
          </cell>
          <cell r="K253">
            <v>5</v>
          </cell>
        </row>
        <row r="254">
          <cell r="A254" t="str">
            <v>C326</v>
          </cell>
          <cell r="B254">
            <v>51.488709</v>
          </cell>
          <cell r="C254">
            <v>-0.17050799999999999</v>
          </cell>
          <cell r="D254">
            <v>2018</v>
          </cell>
          <cell r="E254" t="str">
            <v>UK</v>
          </cell>
          <cell r="F254" t="str">
            <v>Wildtype</v>
          </cell>
          <cell r="G254" t="str">
            <v>MAT1-2</v>
          </cell>
          <cell r="H254" t="str">
            <v>Clinical</v>
          </cell>
          <cell r="I254" t="str">
            <v>Wildtype</v>
          </cell>
          <cell r="K254">
            <v>5</v>
          </cell>
        </row>
        <row r="255">
          <cell r="A255" t="str">
            <v>C327</v>
          </cell>
          <cell r="B255">
            <v>51.488709</v>
          </cell>
          <cell r="C255">
            <v>-0.17050799999999999</v>
          </cell>
          <cell r="D255">
            <v>2018</v>
          </cell>
          <cell r="E255" t="str">
            <v>UK</v>
          </cell>
          <cell r="F255" t="str">
            <v>Wildtype</v>
          </cell>
          <cell r="G255" t="str">
            <v>MAT1-1</v>
          </cell>
          <cell r="H255" t="str">
            <v>Clinical</v>
          </cell>
          <cell r="I255" t="str">
            <v>Wildtype</v>
          </cell>
          <cell r="K255">
            <v>5</v>
          </cell>
        </row>
        <row r="256">
          <cell r="A256" t="str">
            <v>C328</v>
          </cell>
          <cell r="B256">
            <v>51.488709</v>
          </cell>
          <cell r="C256">
            <v>-0.17050799999999999</v>
          </cell>
          <cell r="D256">
            <v>2018</v>
          </cell>
          <cell r="E256" t="str">
            <v>UK</v>
          </cell>
          <cell r="F256" t="str">
            <v>Wildtype</v>
          </cell>
          <cell r="G256" t="str">
            <v>MAT1-1</v>
          </cell>
          <cell r="H256" t="str">
            <v>Clinical</v>
          </cell>
          <cell r="I256" t="str">
            <v>Wildtype</v>
          </cell>
          <cell r="K256">
            <v>5</v>
          </cell>
        </row>
        <row r="257">
          <cell r="A257" t="str">
            <v>C329</v>
          </cell>
          <cell r="B257">
            <v>51.488709</v>
          </cell>
          <cell r="C257">
            <v>-0.17050799999999999</v>
          </cell>
          <cell r="D257">
            <v>2017</v>
          </cell>
          <cell r="E257" t="str">
            <v>UK</v>
          </cell>
          <cell r="F257" t="str">
            <v>Wildtype</v>
          </cell>
          <cell r="G257" t="str">
            <v>MAT1-1</v>
          </cell>
          <cell r="H257" t="str">
            <v>Clinical</v>
          </cell>
          <cell r="I257" t="str">
            <v>Wildtype</v>
          </cell>
          <cell r="J257" t="str">
            <v>&gt;4</v>
          </cell>
          <cell r="K257">
            <v>1</v>
          </cell>
        </row>
        <row r="258">
          <cell r="A258" t="str">
            <v>C33</v>
          </cell>
          <cell r="B258">
            <v>53.480758999999999</v>
          </cell>
          <cell r="C258">
            <v>-2.2426309999999998</v>
          </cell>
          <cell r="D258">
            <v>1997</v>
          </cell>
          <cell r="E258" t="str">
            <v>UK</v>
          </cell>
          <cell r="F258" t="str">
            <v>Wildtype</v>
          </cell>
          <cell r="G258" t="str">
            <v>MAT1-2</v>
          </cell>
          <cell r="H258" t="str">
            <v>Clinical</v>
          </cell>
          <cell r="I258" t="str">
            <v>Wildtype</v>
          </cell>
          <cell r="K258">
            <v>3</v>
          </cell>
        </row>
        <row r="259">
          <cell r="A259" t="str">
            <v>C330</v>
          </cell>
          <cell r="B259">
            <v>51.488709</v>
          </cell>
          <cell r="C259">
            <v>-0.17050799999999999</v>
          </cell>
          <cell r="D259">
            <v>2017</v>
          </cell>
          <cell r="E259" t="str">
            <v>UK</v>
          </cell>
          <cell r="F259" t="str">
            <v>TR34/L98H</v>
          </cell>
          <cell r="G259" t="str">
            <v>MAT1-1</v>
          </cell>
          <cell r="H259" t="str">
            <v>Clinical</v>
          </cell>
          <cell r="I259" t="str">
            <v>F219Y</v>
          </cell>
          <cell r="J259" t="str">
            <v>&gt;4</v>
          </cell>
          <cell r="K259">
            <v>3</v>
          </cell>
        </row>
        <row r="260">
          <cell r="A260" t="str">
            <v>C331</v>
          </cell>
          <cell r="B260">
            <v>51.488709</v>
          </cell>
          <cell r="C260">
            <v>-0.17050799999999999</v>
          </cell>
          <cell r="D260">
            <v>2017</v>
          </cell>
          <cell r="E260" t="str">
            <v>UK</v>
          </cell>
          <cell r="F260" t="str">
            <v>Wildtype</v>
          </cell>
          <cell r="G260" t="str">
            <v>MAT1-2</v>
          </cell>
          <cell r="H260" t="str">
            <v>Clinical</v>
          </cell>
          <cell r="I260" t="str">
            <v>Wildtype</v>
          </cell>
          <cell r="K260">
            <v>4</v>
          </cell>
        </row>
        <row r="261">
          <cell r="A261" t="str">
            <v>C332</v>
          </cell>
          <cell r="B261">
            <v>51.488709</v>
          </cell>
          <cell r="C261">
            <v>-0.17050799999999999</v>
          </cell>
          <cell r="D261">
            <v>2017</v>
          </cell>
          <cell r="E261" t="str">
            <v>UK</v>
          </cell>
          <cell r="F261" t="str">
            <v>Wildtype</v>
          </cell>
          <cell r="G261" t="str">
            <v>MAT1-2</v>
          </cell>
          <cell r="H261" t="str">
            <v>Clinical</v>
          </cell>
          <cell r="I261" t="str">
            <v>Wildtype</v>
          </cell>
          <cell r="K261">
            <v>4</v>
          </cell>
        </row>
        <row r="262">
          <cell r="A262" t="str">
            <v>C333</v>
          </cell>
          <cell r="B262">
            <v>51.488709</v>
          </cell>
          <cell r="C262">
            <v>-0.17050799999999999</v>
          </cell>
          <cell r="D262">
            <v>2017</v>
          </cell>
          <cell r="E262" t="str">
            <v>UK</v>
          </cell>
          <cell r="F262" t="str">
            <v>Wildtype</v>
          </cell>
          <cell r="G262" t="str">
            <v>MAT1-2</v>
          </cell>
          <cell r="H262" t="str">
            <v>Clinical</v>
          </cell>
          <cell r="I262" t="str">
            <v>Wildtype</v>
          </cell>
          <cell r="K262">
            <v>1</v>
          </cell>
        </row>
        <row r="263">
          <cell r="A263" t="str">
            <v>C334</v>
          </cell>
          <cell r="B263">
            <v>51.488709</v>
          </cell>
          <cell r="C263">
            <v>-0.17050799999999999</v>
          </cell>
          <cell r="D263">
            <v>2017</v>
          </cell>
          <cell r="E263" t="str">
            <v>UK</v>
          </cell>
          <cell r="F263" t="str">
            <v>Wildtype</v>
          </cell>
          <cell r="G263" t="str">
            <v>MAT1-1</v>
          </cell>
          <cell r="H263" t="str">
            <v>Clinical</v>
          </cell>
          <cell r="I263" t="str">
            <v>Wildtype</v>
          </cell>
          <cell r="J263">
            <v>2</v>
          </cell>
          <cell r="K263">
            <v>4</v>
          </cell>
        </row>
        <row r="264">
          <cell r="A264" t="str">
            <v>C335</v>
          </cell>
          <cell r="B264">
            <v>51.488709</v>
          </cell>
          <cell r="C264">
            <v>-0.17050799999999999</v>
          </cell>
          <cell r="D264">
            <v>2016</v>
          </cell>
          <cell r="E264" t="str">
            <v>UK</v>
          </cell>
          <cell r="F264" t="str">
            <v>Wildtype</v>
          </cell>
          <cell r="G264" t="str">
            <v>MAT1-2</v>
          </cell>
          <cell r="H264" t="str">
            <v>Clinical</v>
          </cell>
          <cell r="I264" t="str">
            <v>Wildtype</v>
          </cell>
          <cell r="K264">
            <v>5</v>
          </cell>
        </row>
        <row r="265">
          <cell r="A265" t="str">
            <v>C336</v>
          </cell>
          <cell r="B265">
            <v>51.488709</v>
          </cell>
          <cell r="C265">
            <v>-0.17050799999999999</v>
          </cell>
          <cell r="D265">
            <v>2016</v>
          </cell>
          <cell r="E265" t="str">
            <v>UK</v>
          </cell>
          <cell r="F265" t="str">
            <v>Wildtype</v>
          </cell>
          <cell r="G265" t="str">
            <v>MAT1-1</v>
          </cell>
          <cell r="H265" t="str">
            <v>Clinical</v>
          </cell>
          <cell r="I265" t="str">
            <v>Wildtype</v>
          </cell>
          <cell r="K265">
            <v>4</v>
          </cell>
        </row>
        <row r="266">
          <cell r="A266" t="str">
            <v>C337</v>
          </cell>
          <cell r="B266">
            <v>51.488709</v>
          </cell>
          <cell r="C266">
            <v>-0.17050799999999999</v>
          </cell>
          <cell r="D266">
            <v>2016</v>
          </cell>
          <cell r="E266" t="str">
            <v>UK</v>
          </cell>
          <cell r="F266" t="str">
            <v>Wildtype</v>
          </cell>
          <cell r="G266" t="str">
            <v>MAT1-1</v>
          </cell>
          <cell r="H266" t="str">
            <v>Clinical</v>
          </cell>
          <cell r="I266" t="str">
            <v>Wildtype</v>
          </cell>
          <cell r="J266">
            <v>2</v>
          </cell>
          <cell r="K266">
            <v>4</v>
          </cell>
        </row>
        <row r="267">
          <cell r="A267" t="str">
            <v>C338</v>
          </cell>
          <cell r="B267">
            <v>51.488709</v>
          </cell>
          <cell r="C267">
            <v>-0.17050799999999999</v>
          </cell>
          <cell r="D267">
            <v>2017</v>
          </cell>
          <cell r="E267" t="str">
            <v>UK</v>
          </cell>
          <cell r="F267" t="str">
            <v>Wildtype</v>
          </cell>
          <cell r="G267" t="str">
            <v>MAT1-2</v>
          </cell>
          <cell r="H267" t="str">
            <v>Clinical</v>
          </cell>
          <cell r="I267" t="str">
            <v>Wildtype</v>
          </cell>
          <cell r="J267" t="str">
            <v>&gt;4</v>
          </cell>
          <cell r="K267">
            <v>4</v>
          </cell>
        </row>
        <row r="268">
          <cell r="A268" t="str">
            <v>C339</v>
          </cell>
          <cell r="B268">
            <v>51.488709</v>
          </cell>
          <cell r="C268">
            <v>-0.17050799999999999</v>
          </cell>
          <cell r="D268">
            <v>2015</v>
          </cell>
          <cell r="E268" t="str">
            <v>UK</v>
          </cell>
          <cell r="F268" t="str">
            <v>Wildtype</v>
          </cell>
          <cell r="G268" t="str">
            <v>MAT1-1</v>
          </cell>
          <cell r="H268" t="str">
            <v>Clinical</v>
          </cell>
          <cell r="I268" t="str">
            <v>Wildtype</v>
          </cell>
          <cell r="K268">
            <v>4</v>
          </cell>
        </row>
        <row r="269">
          <cell r="A269" t="str">
            <v>C34</v>
          </cell>
          <cell r="B269">
            <v>51.481580999999998</v>
          </cell>
          <cell r="C269">
            <v>-3.17909</v>
          </cell>
          <cell r="D269">
            <v>2013</v>
          </cell>
          <cell r="E269" t="str">
            <v>UK</v>
          </cell>
          <cell r="F269" t="str">
            <v>TR34/L98H</v>
          </cell>
          <cell r="G269" t="str">
            <v>MAT1-2</v>
          </cell>
          <cell r="H269" t="str">
            <v>Clinical</v>
          </cell>
          <cell r="I269" t="str">
            <v>Wildtype</v>
          </cell>
          <cell r="K269">
            <v>2</v>
          </cell>
        </row>
        <row r="270">
          <cell r="A270" t="str">
            <v>C340</v>
          </cell>
          <cell r="B270">
            <v>51.488709</v>
          </cell>
          <cell r="C270">
            <v>-0.17050799999999999</v>
          </cell>
          <cell r="D270">
            <v>2016</v>
          </cell>
          <cell r="E270" t="str">
            <v>UK</v>
          </cell>
          <cell r="F270" t="str">
            <v>Wildtype</v>
          </cell>
          <cell r="G270" t="str">
            <v>MAT1-1</v>
          </cell>
          <cell r="H270" t="str">
            <v>Clinical</v>
          </cell>
          <cell r="I270" t="str">
            <v>Wildtype</v>
          </cell>
          <cell r="K270">
            <v>4</v>
          </cell>
        </row>
        <row r="271">
          <cell r="A271" t="str">
            <v>C341</v>
          </cell>
          <cell r="B271">
            <v>51.488709</v>
          </cell>
          <cell r="C271">
            <v>-0.17050799999999999</v>
          </cell>
          <cell r="D271">
            <v>2016</v>
          </cell>
          <cell r="E271" t="str">
            <v>UK</v>
          </cell>
          <cell r="F271" t="str">
            <v>Wildtype</v>
          </cell>
          <cell r="G271" t="str">
            <v>MAT1-2</v>
          </cell>
          <cell r="H271" t="str">
            <v>Clinical</v>
          </cell>
          <cell r="I271" t="str">
            <v>Wildtype</v>
          </cell>
          <cell r="K271">
            <v>4</v>
          </cell>
        </row>
        <row r="272">
          <cell r="A272" t="str">
            <v>C342</v>
          </cell>
          <cell r="B272">
            <v>51.488709</v>
          </cell>
          <cell r="C272">
            <v>-0.17050799999999999</v>
          </cell>
          <cell r="D272">
            <v>2017</v>
          </cell>
          <cell r="E272" t="str">
            <v>UK</v>
          </cell>
          <cell r="F272" t="str">
            <v>Wildtype</v>
          </cell>
          <cell r="G272" t="str">
            <v>MAT1-2</v>
          </cell>
          <cell r="H272" t="str">
            <v>Clinical</v>
          </cell>
          <cell r="I272" t="str">
            <v>Wildtype</v>
          </cell>
          <cell r="J272">
            <v>2</v>
          </cell>
          <cell r="K272">
            <v>4</v>
          </cell>
        </row>
        <row r="273">
          <cell r="A273" t="str">
            <v>C343</v>
          </cell>
          <cell r="B273">
            <v>51.488709</v>
          </cell>
          <cell r="C273">
            <v>-0.17050799999999999</v>
          </cell>
          <cell r="D273">
            <v>2017</v>
          </cell>
          <cell r="E273" t="str">
            <v>UK</v>
          </cell>
          <cell r="F273" t="str">
            <v>Wildtype</v>
          </cell>
          <cell r="G273" t="str">
            <v>MAT1-1</v>
          </cell>
          <cell r="H273" t="str">
            <v>Clinical</v>
          </cell>
          <cell r="I273" t="str">
            <v>Wildtype</v>
          </cell>
          <cell r="J273" t="str">
            <v>&gt;4</v>
          </cell>
          <cell r="K273">
            <v>5</v>
          </cell>
        </row>
        <row r="274">
          <cell r="A274" t="str">
            <v>C344</v>
          </cell>
          <cell r="B274">
            <v>51.488709</v>
          </cell>
          <cell r="C274">
            <v>-0.17050799999999999</v>
          </cell>
          <cell r="D274">
            <v>2018</v>
          </cell>
          <cell r="E274" t="str">
            <v>UK</v>
          </cell>
          <cell r="F274" t="str">
            <v>Wildtype</v>
          </cell>
          <cell r="G274" t="str">
            <v>MAT1-1</v>
          </cell>
          <cell r="H274" t="str">
            <v>Clinical</v>
          </cell>
          <cell r="I274" t="str">
            <v>Wildtype</v>
          </cell>
          <cell r="K274">
            <v>4</v>
          </cell>
        </row>
        <row r="275">
          <cell r="A275" t="str">
            <v>C345</v>
          </cell>
          <cell r="B275">
            <v>51.488709</v>
          </cell>
          <cell r="C275">
            <v>-0.17050799999999999</v>
          </cell>
          <cell r="D275">
            <v>2016</v>
          </cell>
          <cell r="E275" t="str">
            <v>UK</v>
          </cell>
          <cell r="F275" t="str">
            <v>Wildtype</v>
          </cell>
          <cell r="G275" t="str">
            <v>MAT1-1</v>
          </cell>
          <cell r="H275" t="str">
            <v>Clinical</v>
          </cell>
          <cell r="I275" t="str">
            <v>Wildtype</v>
          </cell>
          <cell r="K275">
            <v>4</v>
          </cell>
        </row>
        <row r="276">
          <cell r="A276" t="str">
            <v>C346</v>
          </cell>
          <cell r="B276">
            <v>51.488709</v>
          </cell>
          <cell r="C276">
            <v>-0.17050799999999999</v>
          </cell>
          <cell r="D276">
            <v>2017</v>
          </cell>
          <cell r="E276" t="str">
            <v>UK</v>
          </cell>
          <cell r="F276" t="str">
            <v>TR34/L98H</v>
          </cell>
          <cell r="G276" t="str">
            <v>MAT1-1</v>
          </cell>
          <cell r="H276" t="str">
            <v>Clinical</v>
          </cell>
          <cell r="I276" t="str">
            <v>Wildtype</v>
          </cell>
          <cell r="J276" t="str">
            <v>&gt;4</v>
          </cell>
          <cell r="K276">
            <v>3</v>
          </cell>
        </row>
        <row r="277">
          <cell r="A277" t="str">
            <v>C347</v>
          </cell>
          <cell r="B277">
            <v>51.488709</v>
          </cell>
          <cell r="C277">
            <v>-0.17050799999999999</v>
          </cell>
          <cell r="D277">
            <v>2017</v>
          </cell>
          <cell r="E277" t="str">
            <v>UK</v>
          </cell>
          <cell r="F277" t="str">
            <v>Wildtype</v>
          </cell>
          <cell r="G277" t="str">
            <v>MAT1-1</v>
          </cell>
          <cell r="H277" t="str">
            <v>Clinical</v>
          </cell>
          <cell r="I277" t="str">
            <v>Wildtype</v>
          </cell>
          <cell r="K277">
            <v>4</v>
          </cell>
        </row>
        <row r="278">
          <cell r="A278" t="str">
            <v>C348</v>
          </cell>
          <cell r="B278">
            <v>51.488709</v>
          </cell>
          <cell r="C278">
            <v>-0.17050799999999999</v>
          </cell>
          <cell r="D278">
            <v>2016</v>
          </cell>
          <cell r="E278" t="str">
            <v>UK</v>
          </cell>
          <cell r="F278" t="str">
            <v>TR34/L98H</v>
          </cell>
          <cell r="G278" t="str">
            <v>MAT1-1</v>
          </cell>
          <cell r="H278" t="str">
            <v>Clinical</v>
          </cell>
          <cell r="I278" t="str">
            <v>Wildtype</v>
          </cell>
          <cell r="K278">
            <v>2</v>
          </cell>
        </row>
        <row r="279">
          <cell r="A279" t="str">
            <v>C349</v>
          </cell>
          <cell r="B279">
            <v>51.488709</v>
          </cell>
          <cell r="C279">
            <v>-0.17050799999999999</v>
          </cell>
          <cell r="D279">
            <v>2017</v>
          </cell>
          <cell r="E279" t="str">
            <v>UK</v>
          </cell>
          <cell r="F279" t="str">
            <v>TR34/L98H</v>
          </cell>
          <cell r="G279" t="str">
            <v>MAT1-1</v>
          </cell>
          <cell r="H279" t="str">
            <v>Clinical</v>
          </cell>
          <cell r="I279" t="str">
            <v>F219Y</v>
          </cell>
          <cell r="J279" t="str">
            <v>&gt;4</v>
          </cell>
          <cell r="K279">
            <v>3</v>
          </cell>
        </row>
        <row r="280">
          <cell r="A280" t="str">
            <v>C35</v>
          </cell>
          <cell r="B280">
            <v>51.481580999999998</v>
          </cell>
          <cell r="C280">
            <v>-3.17909</v>
          </cell>
          <cell r="D280">
            <v>2015</v>
          </cell>
          <cell r="E280" t="str">
            <v>UK</v>
          </cell>
          <cell r="F280" t="str">
            <v>TR34/L98H</v>
          </cell>
          <cell r="G280" t="str">
            <v>MAT1-2</v>
          </cell>
          <cell r="H280" t="str">
            <v>Clinical</v>
          </cell>
          <cell r="I280" t="str">
            <v>Wildtype</v>
          </cell>
          <cell r="K280">
            <v>2</v>
          </cell>
        </row>
        <row r="281">
          <cell r="A281" t="str">
            <v>C350</v>
          </cell>
          <cell r="B281">
            <v>51.488709</v>
          </cell>
          <cell r="C281">
            <v>-0.17050799999999999</v>
          </cell>
          <cell r="D281">
            <v>2015</v>
          </cell>
          <cell r="E281" t="str">
            <v>UK</v>
          </cell>
          <cell r="F281" t="str">
            <v>Wildtype</v>
          </cell>
          <cell r="G281" t="str">
            <v>MAT1-2</v>
          </cell>
          <cell r="H281" t="str">
            <v>Clinical</v>
          </cell>
          <cell r="I281" t="str">
            <v>Wildtype</v>
          </cell>
          <cell r="K281">
            <v>5</v>
          </cell>
        </row>
        <row r="282">
          <cell r="A282" t="str">
            <v>C351</v>
          </cell>
          <cell r="B282">
            <v>51.488709</v>
          </cell>
          <cell r="C282">
            <v>-0.17050799999999999</v>
          </cell>
          <cell r="D282">
            <v>2016</v>
          </cell>
          <cell r="E282" t="str">
            <v>UK</v>
          </cell>
          <cell r="F282" t="str">
            <v>L98H/M220K</v>
          </cell>
          <cell r="G282" t="str">
            <v>MAT1-2</v>
          </cell>
          <cell r="H282" t="str">
            <v>Clinical</v>
          </cell>
          <cell r="I282" t="str">
            <v>Wildtype</v>
          </cell>
          <cell r="K282">
            <v>4</v>
          </cell>
        </row>
        <row r="283">
          <cell r="A283" t="str">
            <v>C352</v>
          </cell>
          <cell r="B283">
            <v>51.488709</v>
          </cell>
          <cell r="C283">
            <v>-0.17050799999999999</v>
          </cell>
          <cell r="D283">
            <v>2016</v>
          </cell>
          <cell r="E283" t="str">
            <v>UK</v>
          </cell>
          <cell r="F283" t="str">
            <v>L98H/M220K</v>
          </cell>
          <cell r="G283" t="str">
            <v>MAT1-2</v>
          </cell>
          <cell r="H283" t="str">
            <v>Clinical</v>
          </cell>
          <cell r="I283" t="str">
            <v>Wildtype</v>
          </cell>
          <cell r="K283">
            <v>4</v>
          </cell>
        </row>
        <row r="284">
          <cell r="A284" t="str">
            <v>C353</v>
          </cell>
          <cell r="B284">
            <v>51.488709</v>
          </cell>
          <cell r="C284">
            <v>-0.17050799999999999</v>
          </cell>
          <cell r="D284">
            <v>2018</v>
          </cell>
          <cell r="E284" t="str">
            <v>UK</v>
          </cell>
          <cell r="F284" t="str">
            <v>L98H/M220K</v>
          </cell>
          <cell r="G284" t="str">
            <v>MAT1-1</v>
          </cell>
          <cell r="H284" t="str">
            <v>Clinical</v>
          </cell>
          <cell r="I284" t="str">
            <v>Wildtype</v>
          </cell>
          <cell r="K284">
            <v>4</v>
          </cell>
        </row>
        <row r="285">
          <cell r="A285" t="str">
            <v>C354</v>
          </cell>
          <cell r="B285">
            <v>51.488709</v>
          </cell>
          <cell r="C285">
            <v>-0.17050799999999999</v>
          </cell>
          <cell r="D285">
            <v>2017</v>
          </cell>
          <cell r="E285" t="str">
            <v>UK</v>
          </cell>
          <cell r="F285" t="str">
            <v>Wildtype</v>
          </cell>
          <cell r="G285" t="str">
            <v>MAT1-2</v>
          </cell>
          <cell r="H285" t="str">
            <v>Clinical</v>
          </cell>
          <cell r="I285" t="str">
            <v>Wildtype</v>
          </cell>
          <cell r="K285">
            <v>4</v>
          </cell>
        </row>
        <row r="286">
          <cell r="A286" t="str">
            <v>C355</v>
          </cell>
          <cell r="B286">
            <v>51.488709</v>
          </cell>
          <cell r="C286">
            <v>-0.17050799999999999</v>
          </cell>
          <cell r="D286">
            <v>2016</v>
          </cell>
          <cell r="E286" t="str">
            <v>UK</v>
          </cell>
          <cell r="F286" t="str">
            <v>Wildtype</v>
          </cell>
          <cell r="G286" t="str">
            <v>MAT1-2</v>
          </cell>
          <cell r="H286" t="str">
            <v>Clinical</v>
          </cell>
          <cell r="I286" t="str">
            <v>Wildtype</v>
          </cell>
          <cell r="K286">
            <v>1</v>
          </cell>
        </row>
        <row r="287">
          <cell r="A287" t="str">
            <v>C356</v>
          </cell>
          <cell r="B287">
            <v>51.488709</v>
          </cell>
          <cell r="C287">
            <v>-0.17050799999999999</v>
          </cell>
          <cell r="D287">
            <v>2016</v>
          </cell>
          <cell r="E287" t="str">
            <v>UK</v>
          </cell>
          <cell r="F287" t="str">
            <v>Wildtype</v>
          </cell>
          <cell r="G287" t="str">
            <v>MAT1-2</v>
          </cell>
          <cell r="H287" t="str">
            <v>Clinical</v>
          </cell>
          <cell r="I287" t="str">
            <v>Wildtype</v>
          </cell>
          <cell r="K287">
            <v>4</v>
          </cell>
        </row>
        <row r="288">
          <cell r="A288" t="str">
            <v>C357</v>
          </cell>
          <cell r="B288">
            <v>51.488709</v>
          </cell>
          <cell r="C288">
            <v>-0.17050799999999999</v>
          </cell>
          <cell r="D288">
            <v>2017</v>
          </cell>
          <cell r="E288" t="str">
            <v>UK</v>
          </cell>
          <cell r="F288" t="str">
            <v>Wildtype</v>
          </cell>
          <cell r="G288" t="str">
            <v>MAT1-1</v>
          </cell>
          <cell r="H288" t="str">
            <v>Clinical</v>
          </cell>
          <cell r="I288" t="str">
            <v>Wildtype</v>
          </cell>
          <cell r="K288">
            <v>4</v>
          </cell>
        </row>
        <row r="289">
          <cell r="A289" t="str">
            <v>C358</v>
          </cell>
          <cell r="B289">
            <v>51.488709</v>
          </cell>
          <cell r="C289">
            <v>-0.17050799999999999</v>
          </cell>
          <cell r="D289">
            <v>2016</v>
          </cell>
          <cell r="E289" t="str">
            <v>UK</v>
          </cell>
          <cell r="F289" t="str">
            <v>TR34/L98H</v>
          </cell>
          <cell r="G289" t="str">
            <v>MAT1-1</v>
          </cell>
          <cell r="H289" t="str">
            <v>Clinical</v>
          </cell>
          <cell r="I289" t="str">
            <v>Wildtype</v>
          </cell>
          <cell r="K289">
            <v>4</v>
          </cell>
        </row>
        <row r="290">
          <cell r="A290" t="str">
            <v>C36</v>
          </cell>
          <cell r="B290">
            <v>51.481580999999998</v>
          </cell>
          <cell r="C290">
            <v>-3.17909</v>
          </cell>
          <cell r="D290">
            <v>2015</v>
          </cell>
          <cell r="E290" t="str">
            <v>UK</v>
          </cell>
          <cell r="F290" t="str">
            <v>Wildtype</v>
          </cell>
          <cell r="G290" t="str">
            <v>MAT1-1</v>
          </cell>
          <cell r="H290" t="str">
            <v>Clinical</v>
          </cell>
          <cell r="I290" t="str">
            <v>Wildtype</v>
          </cell>
          <cell r="K290">
            <v>5</v>
          </cell>
        </row>
        <row r="291">
          <cell r="A291" t="str">
            <v>C360</v>
          </cell>
          <cell r="B291">
            <v>51.488709</v>
          </cell>
          <cell r="C291">
            <v>-0.17050799999999999</v>
          </cell>
          <cell r="D291">
            <v>2017</v>
          </cell>
          <cell r="E291" t="str">
            <v>UK</v>
          </cell>
          <cell r="F291" t="str">
            <v>Wildtype</v>
          </cell>
          <cell r="G291" t="str">
            <v>MAT1-2</v>
          </cell>
          <cell r="H291" t="str">
            <v>Clinical</v>
          </cell>
          <cell r="I291" t="str">
            <v>Wildtype</v>
          </cell>
          <cell r="J291">
            <v>6.25E-2</v>
          </cell>
          <cell r="K291">
            <v>5</v>
          </cell>
        </row>
        <row r="292">
          <cell r="A292" t="str">
            <v>C361</v>
          </cell>
          <cell r="B292">
            <v>51.488709</v>
          </cell>
          <cell r="C292">
            <v>-0.17050799999999999</v>
          </cell>
          <cell r="D292">
            <v>2016</v>
          </cell>
          <cell r="E292" t="str">
            <v>UK</v>
          </cell>
          <cell r="F292" t="str">
            <v>Wildtype</v>
          </cell>
          <cell r="G292" t="str">
            <v>MAT1-1</v>
          </cell>
          <cell r="H292" t="str">
            <v>Clinical</v>
          </cell>
          <cell r="I292" t="str">
            <v>Wildtype</v>
          </cell>
          <cell r="K292">
            <v>4</v>
          </cell>
        </row>
        <row r="293">
          <cell r="A293" t="str">
            <v>C362</v>
          </cell>
          <cell r="B293">
            <v>51.488709</v>
          </cell>
          <cell r="C293">
            <v>-0.17050799999999999</v>
          </cell>
          <cell r="D293">
            <v>2016</v>
          </cell>
          <cell r="E293" t="str">
            <v>UK</v>
          </cell>
          <cell r="F293" t="str">
            <v>Wildtype</v>
          </cell>
          <cell r="G293" t="str">
            <v>MAT1-2</v>
          </cell>
          <cell r="H293" t="str">
            <v>Clinical</v>
          </cell>
          <cell r="I293" t="str">
            <v>Wildtype</v>
          </cell>
          <cell r="K293">
            <v>5</v>
          </cell>
        </row>
        <row r="294">
          <cell r="A294" t="str">
            <v>C363</v>
          </cell>
          <cell r="B294">
            <v>51.488709</v>
          </cell>
          <cell r="C294">
            <v>-0.17050799999999999</v>
          </cell>
          <cell r="D294">
            <v>2017</v>
          </cell>
          <cell r="E294" t="str">
            <v>UK</v>
          </cell>
          <cell r="F294" t="str">
            <v>Wildtype</v>
          </cell>
          <cell r="G294" t="str">
            <v>MAT1-1</v>
          </cell>
          <cell r="H294" t="str">
            <v>Clinical</v>
          </cell>
          <cell r="I294" t="str">
            <v>Wildtype</v>
          </cell>
          <cell r="J294">
            <v>0.25</v>
          </cell>
          <cell r="K294">
            <v>1</v>
          </cell>
        </row>
        <row r="295">
          <cell r="A295" t="str">
            <v>C364</v>
          </cell>
          <cell r="B295">
            <v>51.488709</v>
          </cell>
          <cell r="C295">
            <v>-0.17050799999999999</v>
          </cell>
          <cell r="D295">
            <v>2016</v>
          </cell>
          <cell r="E295" t="str">
            <v>UK</v>
          </cell>
          <cell r="F295" t="str">
            <v>Wildtype</v>
          </cell>
          <cell r="G295" t="str">
            <v>MAT1-2</v>
          </cell>
          <cell r="H295" t="str">
            <v>Clinical</v>
          </cell>
          <cell r="I295" t="str">
            <v>Wildtype</v>
          </cell>
          <cell r="K295">
            <v>1</v>
          </cell>
        </row>
        <row r="296">
          <cell r="A296" t="str">
            <v>C365</v>
          </cell>
          <cell r="B296">
            <v>51.488709</v>
          </cell>
          <cell r="C296">
            <v>-0.17050799999999999</v>
          </cell>
          <cell r="D296">
            <v>2018</v>
          </cell>
          <cell r="E296" t="str">
            <v>UK</v>
          </cell>
          <cell r="F296" t="str">
            <v>Wildtype</v>
          </cell>
          <cell r="G296" t="str">
            <v>MAT1-1</v>
          </cell>
          <cell r="H296" t="str">
            <v>Clinical</v>
          </cell>
          <cell r="I296" t="str">
            <v>Wildtype</v>
          </cell>
          <cell r="K296">
            <v>3</v>
          </cell>
        </row>
        <row r="297">
          <cell r="A297" t="str">
            <v>C366</v>
          </cell>
          <cell r="B297">
            <v>51.488709</v>
          </cell>
          <cell r="C297">
            <v>-0.17050799999999999</v>
          </cell>
          <cell r="D297">
            <v>2016</v>
          </cell>
          <cell r="E297" t="str">
            <v>UK</v>
          </cell>
          <cell r="F297" t="str">
            <v>Wildtype</v>
          </cell>
          <cell r="G297" t="str">
            <v>MAT1-2</v>
          </cell>
          <cell r="H297" t="str">
            <v>Clinical</v>
          </cell>
          <cell r="I297" t="str">
            <v>Wildtype</v>
          </cell>
          <cell r="K297">
            <v>5</v>
          </cell>
        </row>
        <row r="298">
          <cell r="A298" t="str">
            <v>C367</v>
          </cell>
          <cell r="B298">
            <v>51.488709</v>
          </cell>
          <cell r="C298">
            <v>-0.17050799999999999</v>
          </cell>
          <cell r="D298">
            <v>2017</v>
          </cell>
          <cell r="E298" t="str">
            <v>UK</v>
          </cell>
          <cell r="F298" t="str">
            <v>Wildtype</v>
          </cell>
          <cell r="G298" t="str">
            <v>MAT1-1</v>
          </cell>
          <cell r="H298" t="str">
            <v>Clinical</v>
          </cell>
          <cell r="I298" t="str">
            <v>Wildtype</v>
          </cell>
          <cell r="J298" t="str">
            <v>&lt;0.031</v>
          </cell>
          <cell r="K298">
            <v>3</v>
          </cell>
        </row>
        <row r="299">
          <cell r="A299" t="str">
            <v>C368</v>
          </cell>
          <cell r="B299">
            <v>51.488709</v>
          </cell>
          <cell r="C299">
            <v>-0.17050799999999999</v>
          </cell>
          <cell r="D299">
            <v>2017</v>
          </cell>
          <cell r="E299" t="str">
            <v>UK</v>
          </cell>
          <cell r="F299" t="str">
            <v>Wildtype</v>
          </cell>
          <cell r="G299" t="str">
            <v>MAT1-2</v>
          </cell>
          <cell r="H299" t="str">
            <v>Clinical</v>
          </cell>
          <cell r="I299" t="str">
            <v>Wildtype</v>
          </cell>
          <cell r="K299">
            <v>5</v>
          </cell>
        </row>
        <row r="300">
          <cell r="A300" t="str">
            <v>C369</v>
          </cell>
          <cell r="B300">
            <v>51.488709</v>
          </cell>
          <cell r="C300">
            <v>-0.17050799999999999</v>
          </cell>
          <cell r="D300">
            <v>2016</v>
          </cell>
          <cell r="E300" t="str">
            <v>UK</v>
          </cell>
          <cell r="F300" t="str">
            <v>Wildtype</v>
          </cell>
          <cell r="G300" t="str">
            <v>MAT1-2</v>
          </cell>
          <cell r="H300" t="str">
            <v>Clinical</v>
          </cell>
          <cell r="I300" t="str">
            <v>Wildtype</v>
          </cell>
          <cell r="K300">
            <v>4</v>
          </cell>
        </row>
        <row r="301">
          <cell r="A301" t="str">
            <v>C37</v>
          </cell>
          <cell r="B301">
            <v>51.481580999999998</v>
          </cell>
          <cell r="C301">
            <v>-3.17909</v>
          </cell>
          <cell r="D301">
            <v>2013</v>
          </cell>
          <cell r="E301" t="str">
            <v>UK</v>
          </cell>
          <cell r="F301" t="str">
            <v>Wildtype</v>
          </cell>
          <cell r="G301" t="str">
            <v>MAT1-1</v>
          </cell>
          <cell r="H301" t="str">
            <v>Clinical</v>
          </cell>
          <cell r="I301" t="str">
            <v>Wildtype</v>
          </cell>
          <cell r="K301">
            <v>3</v>
          </cell>
        </row>
        <row r="302">
          <cell r="A302" t="str">
            <v>C370</v>
          </cell>
          <cell r="B302">
            <v>51.488709</v>
          </cell>
          <cell r="C302">
            <v>-0.17050799999999999</v>
          </cell>
          <cell r="D302">
            <v>2017</v>
          </cell>
          <cell r="E302" t="str">
            <v>UK</v>
          </cell>
          <cell r="F302" t="str">
            <v>Wildtype</v>
          </cell>
          <cell r="G302" t="str">
            <v>MAT1-2</v>
          </cell>
          <cell r="H302" t="str">
            <v>Clinical</v>
          </cell>
          <cell r="I302" t="str">
            <v>Wildtype</v>
          </cell>
          <cell r="J302" t="str">
            <v>&lt;0.031</v>
          </cell>
          <cell r="K302">
            <v>1</v>
          </cell>
        </row>
        <row r="303">
          <cell r="A303" t="str">
            <v>C371</v>
          </cell>
          <cell r="B303">
            <v>51.488709</v>
          </cell>
          <cell r="C303">
            <v>-0.17050799999999999</v>
          </cell>
          <cell r="D303">
            <v>2017</v>
          </cell>
          <cell r="E303" t="str">
            <v>UK</v>
          </cell>
          <cell r="F303" t="str">
            <v>Wildtype</v>
          </cell>
          <cell r="G303" t="str">
            <v>MAT1-2</v>
          </cell>
          <cell r="H303" t="str">
            <v>Clinical</v>
          </cell>
          <cell r="I303" t="str">
            <v>Wildtype</v>
          </cell>
          <cell r="K303">
            <v>5</v>
          </cell>
        </row>
        <row r="304">
          <cell r="A304" t="str">
            <v>C372</v>
          </cell>
          <cell r="B304">
            <v>51.488709</v>
          </cell>
          <cell r="C304">
            <v>-0.17050799999999999</v>
          </cell>
          <cell r="D304">
            <v>2016</v>
          </cell>
          <cell r="E304" t="str">
            <v>UK</v>
          </cell>
          <cell r="F304" t="str">
            <v>G54W</v>
          </cell>
          <cell r="G304" t="str">
            <v>MAT1-2</v>
          </cell>
          <cell r="H304" t="str">
            <v>Clinical</v>
          </cell>
          <cell r="I304" t="str">
            <v>Wildtype</v>
          </cell>
          <cell r="K304">
            <v>5</v>
          </cell>
        </row>
        <row r="305">
          <cell r="A305" t="str">
            <v>C373</v>
          </cell>
          <cell r="B305">
            <v>51.488709</v>
          </cell>
          <cell r="C305">
            <v>-0.17050799999999999</v>
          </cell>
          <cell r="D305">
            <v>2017</v>
          </cell>
          <cell r="E305" t="str">
            <v>UK</v>
          </cell>
          <cell r="F305" t="str">
            <v>Wildtype</v>
          </cell>
          <cell r="G305" t="str">
            <v>MAT1-2</v>
          </cell>
          <cell r="H305" t="str">
            <v>Clinical</v>
          </cell>
          <cell r="I305" t="str">
            <v>Wildtype</v>
          </cell>
          <cell r="K305">
            <v>4</v>
          </cell>
        </row>
        <row r="306">
          <cell r="A306" t="str">
            <v>C374</v>
          </cell>
          <cell r="B306">
            <v>51.488709</v>
          </cell>
          <cell r="C306">
            <v>-0.17050799999999999</v>
          </cell>
          <cell r="D306">
            <v>2016</v>
          </cell>
          <cell r="E306" t="str">
            <v>UK</v>
          </cell>
          <cell r="F306" t="str">
            <v>Wildtype</v>
          </cell>
          <cell r="G306" t="str">
            <v>MAT1-1</v>
          </cell>
          <cell r="H306" t="str">
            <v>Clinical</v>
          </cell>
          <cell r="I306" t="str">
            <v>Wildtype</v>
          </cell>
          <cell r="K306">
            <v>3</v>
          </cell>
        </row>
        <row r="307">
          <cell r="A307" t="str">
            <v>C375</v>
          </cell>
          <cell r="B307">
            <v>51.488709</v>
          </cell>
          <cell r="C307">
            <v>-0.17050799999999999</v>
          </cell>
          <cell r="D307">
            <v>2016</v>
          </cell>
          <cell r="E307" t="str">
            <v>UK</v>
          </cell>
          <cell r="F307" t="str">
            <v>Wildtype</v>
          </cell>
          <cell r="G307" t="str">
            <v>MAT1-2</v>
          </cell>
          <cell r="H307" t="str">
            <v>Clinical</v>
          </cell>
          <cell r="I307" t="str">
            <v>Wildtype</v>
          </cell>
          <cell r="K307">
            <v>5</v>
          </cell>
        </row>
        <row r="308">
          <cell r="A308" t="str">
            <v>C376</v>
          </cell>
          <cell r="B308">
            <v>51.488709</v>
          </cell>
          <cell r="C308">
            <v>-0.17050799999999999</v>
          </cell>
          <cell r="D308">
            <v>2018</v>
          </cell>
          <cell r="E308" t="str">
            <v>UK</v>
          </cell>
          <cell r="F308" t="str">
            <v>Wildtype</v>
          </cell>
          <cell r="G308" t="str">
            <v>MAT1-2</v>
          </cell>
          <cell r="H308" t="str">
            <v>Clinical</v>
          </cell>
          <cell r="I308" t="str">
            <v>Wildtype</v>
          </cell>
          <cell r="K308">
            <v>4</v>
          </cell>
        </row>
        <row r="309">
          <cell r="A309" t="str">
            <v>C377</v>
          </cell>
          <cell r="B309">
            <v>51.488709</v>
          </cell>
          <cell r="C309">
            <v>-0.17050799999999999</v>
          </cell>
          <cell r="D309">
            <v>2018</v>
          </cell>
          <cell r="E309" t="str">
            <v>UK</v>
          </cell>
          <cell r="F309" t="str">
            <v>TR34/L98H</v>
          </cell>
          <cell r="G309" t="str">
            <v>MAT1-2</v>
          </cell>
          <cell r="H309" t="str">
            <v>Clinical</v>
          </cell>
          <cell r="I309" t="str">
            <v>Wildtype</v>
          </cell>
          <cell r="K309">
            <v>2</v>
          </cell>
        </row>
        <row r="310">
          <cell r="A310" t="str">
            <v>C378</v>
          </cell>
          <cell r="B310">
            <v>51.488709</v>
          </cell>
          <cell r="C310">
            <v>-0.17050799999999999</v>
          </cell>
          <cell r="D310">
            <v>2016</v>
          </cell>
          <cell r="E310" t="str">
            <v>UK</v>
          </cell>
          <cell r="F310" t="str">
            <v>Wildtype</v>
          </cell>
          <cell r="G310" t="str">
            <v>MAT1-2</v>
          </cell>
          <cell r="H310" t="str">
            <v>Clinical</v>
          </cell>
          <cell r="I310" t="str">
            <v>Wildtype</v>
          </cell>
          <cell r="K310">
            <v>4</v>
          </cell>
        </row>
        <row r="311">
          <cell r="A311" t="str">
            <v>C379</v>
          </cell>
          <cell r="B311">
            <v>51.488709</v>
          </cell>
          <cell r="C311">
            <v>-0.17050799999999999</v>
          </cell>
          <cell r="D311">
            <v>2016</v>
          </cell>
          <cell r="E311" t="str">
            <v>UK</v>
          </cell>
          <cell r="F311" t="str">
            <v>Wildtype</v>
          </cell>
          <cell r="G311" t="str">
            <v>MAT1-2</v>
          </cell>
          <cell r="H311" t="str">
            <v>Clinical</v>
          </cell>
          <cell r="I311" t="str">
            <v>Wildtype</v>
          </cell>
          <cell r="K311">
            <v>4</v>
          </cell>
        </row>
        <row r="312">
          <cell r="A312" t="str">
            <v>C38</v>
          </cell>
          <cell r="B312">
            <v>51.481580999999998</v>
          </cell>
          <cell r="C312">
            <v>-3.17909</v>
          </cell>
          <cell r="D312">
            <v>2013</v>
          </cell>
          <cell r="E312" t="str">
            <v>UK</v>
          </cell>
          <cell r="F312" t="str">
            <v>Wildtype</v>
          </cell>
          <cell r="G312" t="str">
            <v>MAT1-1</v>
          </cell>
          <cell r="H312" t="str">
            <v>Clinical</v>
          </cell>
          <cell r="I312" t="str">
            <v>Wildtype</v>
          </cell>
          <cell r="K312">
            <v>3</v>
          </cell>
        </row>
        <row r="313">
          <cell r="A313" t="str">
            <v>C380</v>
          </cell>
          <cell r="B313">
            <v>51.488709</v>
          </cell>
          <cell r="C313">
            <v>-0.17050799999999999</v>
          </cell>
          <cell r="D313">
            <v>2018</v>
          </cell>
          <cell r="E313" t="str">
            <v>UK</v>
          </cell>
          <cell r="F313" t="str">
            <v>Wildtype</v>
          </cell>
          <cell r="G313" t="str">
            <v>MAT1-1</v>
          </cell>
          <cell r="H313" t="str">
            <v>Clinical</v>
          </cell>
          <cell r="I313" t="str">
            <v>Wildtype</v>
          </cell>
          <cell r="K313">
            <v>4</v>
          </cell>
        </row>
        <row r="314">
          <cell r="A314" t="str">
            <v>C381</v>
          </cell>
          <cell r="B314">
            <v>51.488709</v>
          </cell>
          <cell r="C314">
            <v>-0.17050799999999999</v>
          </cell>
          <cell r="D314">
            <v>2017</v>
          </cell>
          <cell r="E314" t="str">
            <v>UK</v>
          </cell>
          <cell r="F314" t="str">
            <v>Wildtype</v>
          </cell>
          <cell r="G314" t="str">
            <v>MAT1-2</v>
          </cell>
          <cell r="H314" t="str">
            <v>Clinical</v>
          </cell>
          <cell r="I314" t="str">
            <v>Wildtype</v>
          </cell>
          <cell r="K314">
            <v>5</v>
          </cell>
        </row>
        <row r="315">
          <cell r="A315" t="str">
            <v>C382</v>
          </cell>
          <cell r="B315">
            <v>51.488709</v>
          </cell>
          <cell r="C315">
            <v>-0.17050799999999999</v>
          </cell>
          <cell r="D315">
            <v>2016</v>
          </cell>
          <cell r="E315" t="str">
            <v>UK</v>
          </cell>
          <cell r="F315" t="str">
            <v>Wildtype</v>
          </cell>
          <cell r="G315" t="str">
            <v>MAT1-2</v>
          </cell>
          <cell r="H315" t="str">
            <v>Clinical</v>
          </cell>
          <cell r="I315" t="str">
            <v>Wildtype</v>
          </cell>
          <cell r="K315">
            <v>4</v>
          </cell>
        </row>
        <row r="316">
          <cell r="A316" t="str">
            <v>C383</v>
          </cell>
          <cell r="B316">
            <v>51.488709</v>
          </cell>
          <cell r="C316">
            <v>-0.17050799999999999</v>
          </cell>
          <cell r="D316">
            <v>2019</v>
          </cell>
          <cell r="E316" t="str">
            <v>UK</v>
          </cell>
          <cell r="F316" t="str">
            <v>Wildtype</v>
          </cell>
          <cell r="G316" t="str">
            <v>MAT1-1</v>
          </cell>
          <cell r="H316" t="str">
            <v>Clinical</v>
          </cell>
          <cell r="I316" t="str">
            <v>Wildtype</v>
          </cell>
          <cell r="K316">
            <v>4</v>
          </cell>
        </row>
        <row r="317">
          <cell r="A317" t="str">
            <v>C384</v>
          </cell>
          <cell r="B317">
            <v>51.488709</v>
          </cell>
          <cell r="C317">
            <v>-0.17050799999999999</v>
          </cell>
          <cell r="D317">
            <v>2016</v>
          </cell>
          <cell r="E317" t="str">
            <v>UK</v>
          </cell>
          <cell r="F317" t="str">
            <v>Wildtype</v>
          </cell>
          <cell r="G317" t="str">
            <v>MAT1-2</v>
          </cell>
          <cell r="H317" t="str">
            <v>Clinical</v>
          </cell>
          <cell r="I317" t="str">
            <v>Wildtype</v>
          </cell>
          <cell r="K317">
            <v>5</v>
          </cell>
        </row>
        <row r="318">
          <cell r="A318" t="str">
            <v>C385</v>
          </cell>
          <cell r="B318">
            <v>51.488709</v>
          </cell>
          <cell r="C318">
            <v>-0.17050799999999999</v>
          </cell>
          <cell r="D318">
            <v>2017</v>
          </cell>
          <cell r="E318" t="str">
            <v>UK</v>
          </cell>
          <cell r="F318" t="str">
            <v>Wildtype</v>
          </cell>
          <cell r="G318" t="str">
            <v>MAT1-1</v>
          </cell>
          <cell r="H318" t="str">
            <v>Clinical</v>
          </cell>
          <cell r="I318" t="str">
            <v>Wildtype</v>
          </cell>
          <cell r="J318" t="str">
            <v>&lt;0.031</v>
          </cell>
          <cell r="K318">
            <v>4</v>
          </cell>
        </row>
        <row r="319">
          <cell r="A319" t="str">
            <v>C386</v>
          </cell>
          <cell r="B319">
            <v>51.488709</v>
          </cell>
          <cell r="C319">
            <v>-0.17050799999999999</v>
          </cell>
          <cell r="D319">
            <v>2017</v>
          </cell>
          <cell r="E319" t="str">
            <v>UK</v>
          </cell>
          <cell r="F319" t="str">
            <v>Wildtype</v>
          </cell>
          <cell r="G319" t="str">
            <v>MAT1-1</v>
          </cell>
          <cell r="H319" t="str">
            <v>Clinical</v>
          </cell>
          <cell r="I319" t="str">
            <v>Wildtype</v>
          </cell>
          <cell r="J319">
            <v>0.5</v>
          </cell>
          <cell r="K319">
            <v>4</v>
          </cell>
        </row>
        <row r="320">
          <cell r="A320" t="str">
            <v>C387</v>
          </cell>
          <cell r="B320">
            <v>51.488709</v>
          </cell>
          <cell r="C320">
            <v>-0.17050799999999999</v>
          </cell>
          <cell r="D320">
            <v>2016</v>
          </cell>
          <cell r="E320" t="str">
            <v>UK</v>
          </cell>
          <cell r="F320" t="str">
            <v>Wildtype</v>
          </cell>
          <cell r="G320" t="str">
            <v>MAT1-2</v>
          </cell>
          <cell r="H320" t="str">
            <v>Clinical</v>
          </cell>
          <cell r="I320" t="str">
            <v>Wildtype</v>
          </cell>
          <cell r="K320">
            <v>3</v>
          </cell>
        </row>
        <row r="321">
          <cell r="A321" t="str">
            <v>C388</v>
          </cell>
          <cell r="B321">
            <v>51.488709</v>
          </cell>
          <cell r="C321">
            <v>-0.17050799999999999</v>
          </cell>
          <cell r="D321">
            <v>2017</v>
          </cell>
          <cell r="E321" t="str">
            <v>UK</v>
          </cell>
          <cell r="F321" t="str">
            <v>Wildtype</v>
          </cell>
          <cell r="G321" t="str">
            <v>MAT1-2</v>
          </cell>
          <cell r="H321" t="str">
            <v>Clinical</v>
          </cell>
          <cell r="I321" t="str">
            <v>Wildtype</v>
          </cell>
          <cell r="K321">
            <v>1</v>
          </cell>
        </row>
        <row r="322">
          <cell r="A322" t="str">
            <v>C389</v>
          </cell>
          <cell r="B322">
            <v>51.488709</v>
          </cell>
          <cell r="C322">
            <v>-0.17050799999999999</v>
          </cell>
          <cell r="D322">
            <v>2017</v>
          </cell>
          <cell r="E322" t="str">
            <v>UK</v>
          </cell>
          <cell r="F322" t="str">
            <v>Wildtype</v>
          </cell>
          <cell r="G322" t="str">
            <v>MAT1-2</v>
          </cell>
          <cell r="H322" t="str">
            <v>Clinical</v>
          </cell>
          <cell r="I322" t="str">
            <v>Wildtype</v>
          </cell>
          <cell r="K322">
            <v>4</v>
          </cell>
        </row>
        <row r="323">
          <cell r="A323" t="str">
            <v>C39</v>
          </cell>
          <cell r="B323">
            <v>51.481580999999998</v>
          </cell>
          <cell r="C323">
            <v>-3.17909</v>
          </cell>
          <cell r="D323">
            <v>2014</v>
          </cell>
          <cell r="E323" t="str">
            <v>UK</v>
          </cell>
          <cell r="F323" t="str">
            <v>Wildtype</v>
          </cell>
          <cell r="G323" t="str">
            <v>MAT1-1</v>
          </cell>
          <cell r="H323" t="str">
            <v>Clinical</v>
          </cell>
          <cell r="I323" t="str">
            <v>Wildtype</v>
          </cell>
          <cell r="K323">
            <v>5</v>
          </cell>
        </row>
        <row r="324">
          <cell r="A324" t="str">
            <v>C390</v>
          </cell>
          <cell r="B324">
            <v>51.488709</v>
          </cell>
          <cell r="C324">
            <v>-0.17050799999999999</v>
          </cell>
          <cell r="D324">
            <v>2016</v>
          </cell>
          <cell r="E324" t="str">
            <v>UK</v>
          </cell>
          <cell r="F324" t="str">
            <v>Wildtype</v>
          </cell>
          <cell r="G324" t="str">
            <v>MAT1-2</v>
          </cell>
          <cell r="H324" t="str">
            <v>Clinical</v>
          </cell>
          <cell r="I324" t="str">
            <v>Wildtype</v>
          </cell>
          <cell r="K324">
            <v>4</v>
          </cell>
        </row>
        <row r="325">
          <cell r="A325" t="str">
            <v>C391</v>
          </cell>
          <cell r="B325">
            <v>51.488709</v>
          </cell>
          <cell r="C325">
            <v>-0.17050799999999999</v>
          </cell>
          <cell r="D325">
            <v>2017</v>
          </cell>
          <cell r="E325" t="str">
            <v>UK</v>
          </cell>
          <cell r="F325" t="str">
            <v>Wildtype</v>
          </cell>
          <cell r="G325" t="str">
            <v>MAT1-2</v>
          </cell>
          <cell r="H325" t="str">
            <v>Clinical</v>
          </cell>
          <cell r="I325" t="str">
            <v>Wildtype</v>
          </cell>
          <cell r="K325">
            <v>3</v>
          </cell>
        </row>
        <row r="326">
          <cell r="A326" t="str">
            <v>C392</v>
          </cell>
          <cell r="B326">
            <v>51.488709</v>
          </cell>
          <cell r="C326">
            <v>-0.17050799999999999</v>
          </cell>
          <cell r="D326">
            <v>2017</v>
          </cell>
          <cell r="E326" t="str">
            <v>UK</v>
          </cell>
          <cell r="F326" t="str">
            <v>Wildtype</v>
          </cell>
          <cell r="G326" t="str">
            <v>MAT1-1</v>
          </cell>
          <cell r="H326" t="str">
            <v>Clinical</v>
          </cell>
          <cell r="I326" t="str">
            <v>Wildtype</v>
          </cell>
          <cell r="K326">
            <v>3</v>
          </cell>
        </row>
        <row r="327">
          <cell r="A327" t="str">
            <v>C393</v>
          </cell>
          <cell r="B327">
            <v>51.488709</v>
          </cell>
          <cell r="C327">
            <v>-0.17050799999999999</v>
          </cell>
          <cell r="D327">
            <v>2016</v>
          </cell>
          <cell r="E327" t="str">
            <v>UK</v>
          </cell>
          <cell r="F327" t="str">
            <v>Wildtype</v>
          </cell>
          <cell r="G327" t="str">
            <v>MAT1-1</v>
          </cell>
          <cell r="H327" t="str">
            <v>Clinical</v>
          </cell>
          <cell r="I327" t="str">
            <v>Wildtype</v>
          </cell>
          <cell r="K327">
            <v>5</v>
          </cell>
        </row>
        <row r="328">
          <cell r="A328" t="str">
            <v>C395</v>
          </cell>
          <cell r="B328">
            <v>51.488709</v>
          </cell>
          <cell r="C328">
            <v>-0.17050799999999999</v>
          </cell>
          <cell r="D328">
            <v>2017</v>
          </cell>
          <cell r="E328" t="str">
            <v>UK</v>
          </cell>
          <cell r="F328" t="str">
            <v>Wildtype</v>
          </cell>
          <cell r="G328" t="str">
            <v>MAT1-2</v>
          </cell>
          <cell r="H328" t="str">
            <v>Clinical</v>
          </cell>
          <cell r="I328" t="str">
            <v>Wildtype</v>
          </cell>
          <cell r="J328">
            <v>0.5</v>
          </cell>
          <cell r="K328">
            <v>5</v>
          </cell>
        </row>
        <row r="329">
          <cell r="A329" t="str">
            <v>C396</v>
          </cell>
          <cell r="B329">
            <v>51.488709</v>
          </cell>
          <cell r="C329">
            <v>-0.17050799999999999</v>
          </cell>
          <cell r="D329">
            <v>2017</v>
          </cell>
          <cell r="E329" t="str">
            <v>UK</v>
          </cell>
          <cell r="F329" t="str">
            <v>Wildtype</v>
          </cell>
          <cell r="G329" t="str">
            <v>MAT1-1</v>
          </cell>
          <cell r="H329" t="str">
            <v>Clinical</v>
          </cell>
          <cell r="I329" t="str">
            <v>Wildtype</v>
          </cell>
          <cell r="J329" t="str">
            <v>&lt;0.031</v>
          </cell>
          <cell r="K329">
            <v>4</v>
          </cell>
        </row>
        <row r="330">
          <cell r="A330" t="str">
            <v>C397</v>
          </cell>
          <cell r="B330">
            <v>51.488709</v>
          </cell>
          <cell r="C330">
            <v>-0.17050799999999999</v>
          </cell>
          <cell r="D330">
            <v>2018</v>
          </cell>
          <cell r="E330" t="str">
            <v>UK</v>
          </cell>
          <cell r="F330" t="str">
            <v>Wildtype</v>
          </cell>
          <cell r="G330" t="str">
            <v>MAT1-2</v>
          </cell>
          <cell r="H330" t="str">
            <v>Clinical</v>
          </cell>
          <cell r="I330" t="str">
            <v>Wildtype</v>
          </cell>
          <cell r="K330">
            <v>4</v>
          </cell>
        </row>
        <row r="331">
          <cell r="A331" t="str">
            <v>C398</v>
          </cell>
          <cell r="B331">
            <v>51.488709</v>
          </cell>
          <cell r="C331">
            <v>-0.17050799999999999</v>
          </cell>
          <cell r="D331">
            <v>2018</v>
          </cell>
          <cell r="E331" t="str">
            <v>UK</v>
          </cell>
          <cell r="F331" t="str">
            <v>Wildtype</v>
          </cell>
          <cell r="G331" t="str">
            <v>MAT1-2</v>
          </cell>
          <cell r="H331" t="str">
            <v>Clinical</v>
          </cell>
          <cell r="I331" t="str">
            <v>Wildtype</v>
          </cell>
          <cell r="K331">
            <v>5</v>
          </cell>
        </row>
        <row r="332">
          <cell r="A332" t="str">
            <v>C399</v>
          </cell>
          <cell r="B332">
            <v>51.488709</v>
          </cell>
          <cell r="C332">
            <v>-0.17050799999999999</v>
          </cell>
          <cell r="D332">
            <v>2016</v>
          </cell>
          <cell r="E332" t="str">
            <v>UK</v>
          </cell>
          <cell r="F332" t="str">
            <v>Wildtype</v>
          </cell>
          <cell r="G332" t="str">
            <v>MAT1-2</v>
          </cell>
          <cell r="H332" t="str">
            <v>Clinical</v>
          </cell>
          <cell r="I332" t="str">
            <v>Wildtype</v>
          </cell>
          <cell r="K332">
            <v>4</v>
          </cell>
        </row>
        <row r="333">
          <cell r="A333" t="str">
            <v>C4</v>
          </cell>
          <cell r="B333">
            <v>53.800755000000002</v>
          </cell>
          <cell r="C333">
            <v>-1.549077</v>
          </cell>
          <cell r="D333">
            <v>2012</v>
          </cell>
          <cell r="E333" t="str">
            <v>UK</v>
          </cell>
          <cell r="F333" t="str">
            <v>Wildtype</v>
          </cell>
          <cell r="G333" t="str">
            <v>MAT1-1</v>
          </cell>
          <cell r="H333" t="str">
            <v>Clinical</v>
          </cell>
          <cell r="I333" t="str">
            <v>Wildtype</v>
          </cell>
          <cell r="J333">
            <v>1</v>
          </cell>
          <cell r="K333">
            <v>3</v>
          </cell>
        </row>
        <row r="334">
          <cell r="A334" t="str">
            <v>C40</v>
          </cell>
          <cell r="B334">
            <v>51.481580999999998</v>
          </cell>
          <cell r="C334">
            <v>-3.17909</v>
          </cell>
          <cell r="D334">
            <v>2014</v>
          </cell>
          <cell r="E334" t="str">
            <v>UK</v>
          </cell>
          <cell r="F334" t="str">
            <v>Wildtype</v>
          </cell>
          <cell r="G334" t="str">
            <v>MAT1-1</v>
          </cell>
          <cell r="H334" t="str">
            <v>Clinical</v>
          </cell>
          <cell r="I334" t="str">
            <v>Wildtype</v>
          </cell>
          <cell r="K334">
            <v>3</v>
          </cell>
        </row>
        <row r="335">
          <cell r="A335" t="str">
            <v>C400</v>
          </cell>
          <cell r="B335">
            <v>51.488709</v>
          </cell>
          <cell r="C335">
            <v>-0.17050799999999999</v>
          </cell>
          <cell r="D335">
            <v>2016</v>
          </cell>
          <cell r="E335" t="str">
            <v>UK</v>
          </cell>
          <cell r="F335" t="str">
            <v>Wildtype</v>
          </cell>
          <cell r="G335" t="str">
            <v>MAT1-2</v>
          </cell>
          <cell r="H335" t="str">
            <v>Clinical</v>
          </cell>
          <cell r="I335" t="str">
            <v>Wildtype</v>
          </cell>
          <cell r="K335">
            <v>4</v>
          </cell>
        </row>
        <row r="336">
          <cell r="A336" t="str">
            <v>C401</v>
          </cell>
          <cell r="B336">
            <v>51.488709</v>
          </cell>
          <cell r="C336">
            <v>-0.17050799999999999</v>
          </cell>
          <cell r="E336" t="str">
            <v>UK</v>
          </cell>
          <cell r="F336" t="str">
            <v>Wildtype</v>
          </cell>
          <cell r="G336" t="str">
            <v>MAT1-2</v>
          </cell>
          <cell r="H336" t="str">
            <v>Clinical</v>
          </cell>
          <cell r="I336" t="str">
            <v>Wildtype</v>
          </cell>
          <cell r="K336">
            <v>1</v>
          </cell>
        </row>
        <row r="337">
          <cell r="A337" t="str">
            <v>C402</v>
          </cell>
          <cell r="B337">
            <v>52.083827999999997</v>
          </cell>
          <cell r="C337">
            <v>5.1196739999999998</v>
          </cell>
          <cell r="D337">
            <v>2020</v>
          </cell>
          <cell r="E337" t="str">
            <v>Netherlands</v>
          </cell>
          <cell r="F337" t="str">
            <v>Wildtype</v>
          </cell>
          <cell r="G337" t="str">
            <v>MAT1-2</v>
          </cell>
          <cell r="H337" t="str">
            <v>Clinical</v>
          </cell>
          <cell r="I337" t="str">
            <v>Wildtype</v>
          </cell>
          <cell r="K337">
            <v>5</v>
          </cell>
        </row>
        <row r="338">
          <cell r="A338" t="str">
            <v>C403</v>
          </cell>
          <cell r="B338">
            <v>52.083827999999997</v>
          </cell>
          <cell r="C338">
            <v>5.1196739999999998</v>
          </cell>
          <cell r="D338">
            <v>2020</v>
          </cell>
          <cell r="E338" t="str">
            <v>Netherlands</v>
          </cell>
          <cell r="F338" t="str">
            <v>Wildtype</v>
          </cell>
          <cell r="G338" t="str">
            <v>MAT1-2</v>
          </cell>
          <cell r="H338" t="str">
            <v>Clinical</v>
          </cell>
          <cell r="I338" t="str">
            <v>Wildtype</v>
          </cell>
          <cell r="K338">
            <v>4</v>
          </cell>
        </row>
        <row r="339">
          <cell r="A339" t="str">
            <v>C404</v>
          </cell>
          <cell r="B339">
            <v>52.083827999999997</v>
          </cell>
          <cell r="C339">
            <v>5.1196739999999998</v>
          </cell>
          <cell r="D339">
            <v>2020</v>
          </cell>
          <cell r="E339" t="str">
            <v>Netherlands</v>
          </cell>
          <cell r="F339" t="str">
            <v>Wildtype</v>
          </cell>
          <cell r="G339" t="str">
            <v>MAT1-2</v>
          </cell>
          <cell r="H339" t="str">
            <v>Clinical</v>
          </cell>
          <cell r="I339" t="str">
            <v>Wildtype</v>
          </cell>
          <cell r="K339">
            <v>5</v>
          </cell>
        </row>
        <row r="340">
          <cell r="A340" t="str">
            <v>C405</v>
          </cell>
          <cell r="B340">
            <v>52.083827999999997</v>
          </cell>
          <cell r="C340">
            <v>5.1196739999999998</v>
          </cell>
          <cell r="D340">
            <v>2020</v>
          </cell>
          <cell r="E340" t="str">
            <v>Netherlands</v>
          </cell>
          <cell r="F340" t="str">
            <v>Wildtype</v>
          </cell>
          <cell r="G340" t="str">
            <v>MAT1-2</v>
          </cell>
          <cell r="H340" t="str">
            <v>Clinical</v>
          </cell>
          <cell r="I340" t="str">
            <v>Wildtype</v>
          </cell>
          <cell r="K340">
            <v>5</v>
          </cell>
        </row>
        <row r="341">
          <cell r="A341" t="str">
            <v>C406</v>
          </cell>
          <cell r="B341">
            <v>52.083827999999997</v>
          </cell>
          <cell r="C341">
            <v>5.1196739999999998</v>
          </cell>
          <cell r="D341">
            <v>2020</v>
          </cell>
          <cell r="E341" t="str">
            <v>Netherlands</v>
          </cell>
          <cell r="F341" t="str">
            <v>Wildtype</v>
          </cell>
          <cell r="G341" t="str">
            <v>MAT1-2</v>
          </cell>
          <cell r="H341" t="str">
            <v>Clinical</v>
          </cell>
          <cell r="I341" t="str">
            <v>Wildtype</v>
          </cell>
          <cell r="K341">
            <v>4</v>
          </cell>
        </row>
        <row r="342">
          <cell r="A342" t="str">
            <v>C407</v>
          </cell>
          <cell r="B342">
            <v>52.083827999999997</v>
          </cell>
          <cell r="C342">
            <v>5.1196739999999998</v>
          </cell>
          <cell r="D342">
            <v>2020</v>
          </cell>
          <cell r="E342" t="str">
            <v>Netherlands</v>
          </cell>
          <cell r="F342" t="str">
            <v>Wildtype</v>
          </cell>
          <cell r="G342" t="str">
            <v>MAT1-1</v>
          </cell>
          <cell r="H342" t="str">
            <v>Clinical</v>
          </cell>
          <cell r="I342" t="str">
            <v>Wildtype</v>
          </cell>
          <cell r="K342">
            <v>5</v>
          </cell>
        </row>
        <row r="343">
          <cell r="A343" t="str">
            <v>C408</v>
          </cell>
          <cell r="B343">
            <v>52.083827999999997</v>
          </cell>
          <cell r="C343">
            <v>5.1196739999999998</v>
          </cell>
          <cell r="D343">
            <v>2020</v>
          </cell>
          <cell r="E343" t="str">
            <v>Netherlands</v>
          </cell>
          <cell r="F343" t="str">
            <v>Wildtype</v>
          </cell>
          <cell r="G343" t="str">
            <v>MAT1-2</v>
          </cell>
          <cell r="H343" t="str">
            <v>Clinical</v>
          </cell>
          <cell r="I343" t="str">
            <v>Wildtype</v>
          </cell>
          <cell r="K343">
            <v>5</v>
          </cell>
        </row>
        <row r="344">
          <cell r="A344" t="str">
            <v>C409</v>
          </cell>
          <cell r="B344">
            <v>52.083827999999997</v>
          </cell>
          <cell r="C344">
            <v>5.1196739999999998</v>
          </cell>
          <cell r="D344">
            <v>2020</v>
          </cell>
          <cell r="E344" t="str">
            <v>Netherlands</v>
          </cell>
          <cell r="F344" t="str">
            <v>Wildtype</v>
          </cell>
          <cell r="G344" t="str">
            <v>MAT1-2</v>
          </cell>
          <cell r="H344" t="str">
            <v>Clinical</v>
          </cell>
          <cell r="I344" t="str">
            <v>Wildtype</v>
          </cell>
          <cell r="K344">
            <v>5</v>
          </cell>
        </row>
        <row r="345">
          <cell r="A345" t="str">
            <v>C41</v>
          </cell>
          <cell r="B345">
            <v>51.481580999999998</v>
          </cell>
          <cell r="C345">
            <v>-3.17909</v>
          </cell>
          <cell r="D345">
            <v>2014</v>
          </cell>
          <cell r="E345" t="str">
            <v>UK</v>
          </cell>
          <cell r="F345" t="str">
            <v>Wildtype</v>
          </cell>
          <cell r="G345" t="str">
            <v>MAT1-2</v>
          </cell>
          <cell r="H345" t="str">
            <v>Clinical</v>
          </cell>
          <cell r="I345" t="str">
            <v>Wildtype</v>
          </cell>
          <cell r="K345">
            <v>4</v>
          </cell>
        </row>
        <row r="346">
          <cell r="A346" t="str">
            <v>C410</v>
          </cell>
          <cell r="B346">
            <v>52.083827999999997</v>
          </cell>
          <cell r="C346">
            <v>5.1196739999999998</v>
          </cell>
          <cell r="D346">
            <v>2020</v>
          </cell>
          <cell r="E346" t="str">
            <v>Netherlands</v>
          </cell>
          <cell r="F346" t="str">
            <v>Wildtype</v>
          </cell>
          <cell r="G346" t="str">
            <v>MAT1-2</v>
          </cell>
          <cell r="H346" t="str">
            <v>Clinical</v>
          </cell>
          <cell r="I346" t="str">
            <v>Wildtype</v>
          </cell>
          <cell r="K346">
            <v>5</v>
          </cell>
        </row>
        <row r="347">
          <cell r="A347" t="str">
            <v>C411</v>
          </cell>
          <cell r="B347">
            <v>35.604129999999998</v>
          </cell>
          <cell r="C347">
            <v>140.135986</v>
          </cell>
          <cell r="D347">
            <v>2009</v>
          </cell>
          <cell r="E347" t="str">
            <v>Japan</v>
          </cell>
          <cell r="F347" t="str">
            <v>Wildtype</v>
          </cell>
          <cell r="G347" t="str">
            <v>MAT1-2</v>
          </cell>
          <cell r="H347" t="str">
            <v>Clinical</v>
          </cell>
          <cell r="I347" t="str">
            <v>F219Y</v>
          </cell>
          <cell r="J347">
            <v>0.5</v>
          </cell>
          <cell r="K347">
            <v>4</v>
          </cell>
        </row>
        <row r="348">
          <cell r="A348" t="str">
            <v>C412</v>
          </cell>
          <cell r="B348">
            <v>35.604129999999998</v>
          </cell>
          <cell r="C348">
            <v>140.135986</v>
          </cell>
          <cell r="D348">
            <v>2009</v>
          </cell>
          <cell r="E348" t="str">
            <v>Japan</v>
          </cell>
          <cell r="F348" t="str">
            <v>Wildtype</v>
          </cell>
          <cell r="G348" t="str">
            <v>MAT1-2</v>
          </cell>
          <cell r="H348" t="str">
            <v>Clinical</v>
          </cell>
          <cell r="I348" t="str">
            <v>F219Y</v>
          </cell>
          <cell r="J348">
            <v>0.5</v>
          </cell>
          <cell r="K348">
            <v>4</v>
          </cell>
        </row>
        <row r="349">
          <cell r="A349" t="str">
            <v>C413</v>
          </cell>
          <cell r="B349">
            <v>35.604129999999998</v>
          </cell>
          <cell r="C349">
            <v>140.135986</v>
          </cell>
          <cell r="D349">
            <v>2009</v>
          </cell>
          <cell r="E349" t="str">
            <v>Japan</v>
          </cell>
          <cell r="F349" t="str">
            <v>Wildtype</v>
          </cell>
          <cell r="G349" t="str">
            <v>MAT1-2</v>
          </cell>
          <cell r="H349" t="str">
            <v>Clinical</v>
          </cell>
          <cell r="I349" t="str">
            <v>F219Y</v>
          </cell>
          <cell r="J349">
            <v>0.5</v>
          </cell>
          <cell r="K349">
            <v>4</v>
          </cell>
        </row>
        <row r="350">
          <cell r="A350" t="str">
            <v>C414</v>
          </cell>
          <cell r="B350">
            <v>35.604129999999998</v>
          </cell>
          <cell r="C350">
            <v>140.135986</v>
          </cell>
          <cell r="D350">
            <v>2009</v>
          </cell>
          <cell r="E350" t="str">
            <v>Japan</v>
          </cell>
          <cell r="F350" t="str">
            <v>Wildtype</v>
          </cell>
          <cell r="G350" t="str">
            <v>MAT1-2</v>
          </cell>
          <cell r="H350" t="str">
            <v>Clinical</v>
          </cell>
          <cell r="I350" t="str">
            <v>F219Y</v>
          </cell>
          <cell r="J350">
            <v>0.5</v>
          </cell>
          <cell r="K350">
            <v>4</v>
          </cell>
        </row>
        <row r="351">
          <cell r="A351" t="str">
            <v>C415</v>
          </cell>
          <cell r="B351">
            <v>35.604129999999998</v>
          </cell>
          <cell r="C351">
            <v>140.135986</v>
          </cell>
          <cell r="D351">
            <v>2009</v>
          </cell>
          <cell r="E351" t="str">
            <v>Japan</v>
          </cell>
          <cell r="F351" t="str">
            <v>Wildtype</v>
          </cell>
          <cell r="G351" t="str">
            <v>MAT1-2</v>
          </cell>
          <cell r="H351" t="str">
            <v>Clinical</v>
          </cell>
          <cell r="I351" t="str">
            <v>F219Y</v>
          </cell>
          <cell r="J351">
            <v>1</v>
          </cell>
          <cell r="K351">
            <v>4</v>
          </cell>
        </row>
        <row r="352">
          <cell r="A352" t="str">
            <v>C416</v>
          </cell>
          <cell r="B352">
            <v>35.604129999999998</v>
          </cell>
          <cell r="C352">
            <v>140.135986</v>
          </cell>
          <cell r="D352">
            <v>2009</v>
          </cell>
          <cell r="E352" t="str">
            <v>Japan</v>
          </cell>
          <cell r="F352" t="str">
            <v>Wildtype</v>
          </cell>
          <cell r="G352" t="str">
            <v>MAT1-2</v>
          </cell>
          <cell r="H352" t="str">
            <v>Clinical</v>
          </cell>
          <cell r="I352" t="str">
            <v>Wildtype</v>
          </cell>
          <cell r="J352">
            <v>1</v>
          </cell>
          <cell r="K352">
            <v>4</v>
          </cell>
        </row>
        <row r="353">
          <cell r="A353" t="str">
            <v>C417</v>
          </cell>
          <cell r="B353">
            <v>35.604129999999998</v>
          </cell>
          <cell r="C353">
            <v>140.135986</v>
          </cell>
          <cell r="D353">
            <v>2009</v>
          </cell>
          <cell r="E353" t="str">
            <v>Japan</v>
          </cell>
          <cell r="F353" t="str">
            <v>Wildtype</v>
          </cell>
          <cell r="G353" t="str">
            <v>MAT1-2</v>
          </cell>
          <cell r="H353" t="str">
            <v>Clinical</v>
          </cell>
          <cell r="I353" t="str">
            <v>Wildtype</v>
          </cell>
          <cell r="J353">
            <v>1</v>
          </cell>
          <cell r="K353">
            <v>4</v>
          </cell>
        </row>
        <row r="354">
          <cell r="A354" t="str">
            <v>C418</v>
          </cell>
          <cell r="B354">
            <v>35.604129999999998</v>
          </cell>
          <cell r="C354">
            <v>140.135986</v>
          </cell>
          <cell r="D354">
            <v>2011</v>
          </cell>
          <cell r="E354" t="str">
            <v>Japan</v>
          </cell>
          <cell r="F354" t="str">
            <v>P216L</v>
          </cell>
          <cell r="G354" t="str">
            <v>MAT1-2</v>
          </cell>
          <cell r="H354" t="str">
            <v>Clinical</v>
          </cell>
          <cell r="I354" t="str">
            <v>Wildtype</v>
          </cell>
          <cell r="J354">
            <v>4</v>
          </cell>
          <cell r="K354">
            <v>4</v>
          </cell>
        </row>
        <row r="355">
          <cell r="A355" t="str">
            <v>C42</v>
          </cell>
          <cell r="B355">
            <v>53.349805000000003</v>
          </cell>
          <cell r="C355">
            <v>-6.2603099999999996</v>
          </cell>
          <cell r="D355">
            <v>2013</v>
          </cell>
          <cell r="E355" t="str">
            <v>Republic of Ireland</v>
          </cell>
          <cell r="F355" t="str">
            <v>Wildtype</v>
          </cell>
          <cell r="G355" t="str">
            <v>MAT1-1</v>
          </cell>
          <cell r="H355" t="str">
            <v>Clinical</v>
          </cell>
          <cell r="I355" t="str">
            <v>Wildtype</v>
          </cell>
          <cell r="J355">
            <v>0.06</v>
          </cell>
          <cell r="K355">
            <v>5</v>
          </cell>
        </row>
        <row r="356">
          <cell r="A356" t="str">
            <v>C420</v>
          </cell>
          <cell r="B356">
            <v>56.162936999999999</v>
          </cell>
          <cell r="C356">
            <v>10.203920999999999</v>
          </cell>
          <cell r="D356">
            <v>2016</v>
          </cell>
          <cell r="E356" t="str">
            <v>Denmark</v>
          </cell>
          <cell r="F356" t="str">
            <v>TR120</v>
          </cell>
          <cell r="G356" t="str">
            <v>MAT1-2</v>
          </cell>
          <cell r="H356" t="str">
            <v>Clinical</v>
          </cell>
          <cell r="I356" t="str">
            <v>Wildtype</v>
          </cell>
          <cell r="J356">
            <v>16</v>
          </cell>
          <cell r="K356">
            <v>4</v>
          </cell>
        </row>
        <row r="357">
          <cell r="A357" t="str">
            <v>C422</v>
          </cell>
          <cell r="B357">
            <v>51.467030000000001</v>
          </cell>
          <cell r="C357">
            <v>-9.0709999999999999E-2</v>
          </cell>
          <cell r="D357">
            <v>2021</v>
          </cell>
          <cell r="E357" t="str">
            <v>UK</v>
          </cell>
          <cell r="F357" t="str">
            <v>Wildtype</v>
          </cell>
          <cell r="G357">
            <v>0</v>
          </cell>
          <cell r="H357" t="str">
            <v>Clinical</v>
          </cell>
          <cell r="I357" t="str">
            <v>Wildtype</v>
          </cell>
          <cell r="K357">
            <v>4</v>
          </cell>
        </row>
        <row r="358">
          <cell r="A358" t="str">
            <v>C423</v>
          </cell>
          <cell r="B358">
            <v>51.467030000000001</v>
          </cell>
          <cell r="C358">
            <v>-9.0709999999999999E-2</v>
          </cell>
          <cell r="D358">
            <v>2021</v>
          </cell>
          <cell r="E358" t="str">
            <v>UK</v>
          </cell>
          <cell r="F358" t="str">
            <v>Wildtype</v>
          </cell>
          <cell r="G358">
            <v>0</v>
          </cell>
          <cell r="H358" t="str">
            <v>Clinical</v>
          </cell>
          <cell r="I358" t="str">
            <v>Wildtype</v>
          </cell>
          <cell r="K358">
            <v>4</v>
          </cell>
        </row>
        <row r="359">
          <cell r="A359" t="str">
            <v>C424</v>
          </cell>
          <cell r="B359">
            <v>51.467030000000001</v>
          </cell>
          <cell r="C359">
            <v>-9.0709999999999999E-2</v>
          </cell>
          <cell r="D359">
            <v>2021</v>
          </cell>
          <cell r="E359" t="str">
            <v>UK</v>
          </cell>
          <cell r="F359" t="str">
            <v>Wildtype</v>
          </cell>
          <cell r="G359">
            <v>0</v>
          </cell>
          <cell r="H359" t="str">
            <v>Clinical</v>
          </cell>
          <cell r="I359" t="str">
            <v>Wildtype</v>
          </cell>
          <cell r="K359">
            <v>5</v>
          </cell>
        </row>
        <row r="360">
          <cell r="A360" t="str">
            <v>C425</v>
          </cell>
          <cell r="B360">
            <v>51.467030000000001</v>
          </cell>
          <cell r="C360">
            <v>-9.0709999999999999E-2</v>
          </cell>
          <cell r="D360">
            <v>2021</v>
          </cell>
          <cell r="E360" t="str">
            <v>UK</v>
          </cell>
          <cell r="F360" t="str">
            <v>Wildtype</v>
          </cell>
          <cell r="G360">
            <v>0</v>
          </cell>
          <cell r="H360" t="str">
            <v>Clinical</v>
          </cell>
          <cell r="I360" t="str">
            <v>Wildtype</v>
          </cell>
          <cell r="K360">
            <v>1</v>
          </cell>
        </row>
        <row r="361">
          <cell r="A361" t="str">
            <v>C426</v>
          </cell>
          <cell r="B361">
            <v>53.339300000000001</v>
          </cell>
          <cell r="C361">
            <v>6.2965</v>
          </cell>
          <cell r="D361">
            <v>2021</v>
          </cell>
          <cell r="E361" t="str">
            <v>Republic of Ireland</v>
          </cell>
          <cell r="F361" t="str">
            <v>Wildtype</v>
          </cell>
          <cell r="G361">
            <v>0</v>
          </cell>
          <cell r="H361" t="str">
            <v>Clinical</v>
          </cell>
          <cell r="I361" t="str">
            <v>Wildtype</v>
          </cell>
          <cell r="K361">
            <v>5</v>
          </cell>
        </row>
        <row r="362">
          <cell r="A362" t="str">
            <v>C427</v>
          </cell>
          <cell r="B362">
            <v>53.339300000000001</v>
          </cell>
          <cell r="C362">
            <v>6.2965</v>
          </cell>
          <cell r="D362">
            <v>2021</v>
          </cell>
          <cell r="E362" t="str">
            <v>Republic of Ireland</v>
          </cell>
          <cell r="F362" t="str">
            <v>Wildtype</v>
          </cell>
          <cell r="G362">
            <v>0</v>
          </cell>
          <cell r="H362" t="str">
            <v>Clinical</v>
          </cell>
          <cell r="I362" t="str">
            <v>Wildtype</v>
          </cell>
          <cell r="K362">
            <v>3</v>
          </cell>
        </row>
        <row r="363">
          <cell r="A363" t="str">
            <v>C428</v>
          </cell>
          <cell r="B363">
            <v>53.339300000000001</v>
          </cell>
          <cell r="C363">
            <v>6.2965</v>
          </cell>
          <cell r="D363">
            <v>2021</v>
          </cell>
          <cell r="E363" t="str">
            <v>Republic of Ireland</v>
          </cell>
          <cell r="F363" t="str">
            <v>Wildtype</v>
          </cell>
          <cell r="G363">
            <v>0</v>
          </cell>
          <cell r="H363" t="str">
            <v>Clinical</v>
          </cell>
          <cell r="I363" t="str">
            <v>Wildtype</v>
          </cell>
          <cell r="K363">
            <v>5</v>
          </cell>
        </row>
        <row r="364">
          <cell r="A364" t="str">
            <v>C429</v>
          </cell>
          <cell r="B364">
            <v>53.339300000000001</v>
          </cell>
          <cell r="C364">
            <v>6.2965</v>
          </cell>
          <cell r="D364">
            <v>2021</v>
          </cell>
          <cell r="E364" t="str">
            <v>Republic of Ireland</v>
          </cell>
          <cell r="F364" t="str">
            <v>Wildtype</v>
          </cell>
          <cell r="G364">
            <v>0</v>
          </cell>
          <cell r="H364" t="str">
            <v>Clinical</v>
          </cell>
          <cell r="I364" t="str">
            <v>Wildtype</v>
          </cell>
          <cell r="K364">
            <v>3</v>
          </cell>
        </row>
        <row r="365">
          <cell r="A365" t="str">
            <v>C43</v>
          </cell>
          <cell r="B365">
            <v>53.349805000000003</v>
          </cell>
          <cell r="C365">
            <v>-6.2603099999999996</v>
          </cell>
          <cell r="D365">
            <v>2011</v>
          </cell>
          <cell r="E365" t="str">
            <v>Republic of Ireland</v>
          </cell>
          <cell r="F365" t="str">
            <v>Wildtype</v>
          </cell>
          <cell r="G365" t="str">
            <v>MAT1-1</v>
          </cell>
          <cell r="H365" t="str">
            <v>Clinical</v>
          </cell>
          <cell r="I365" t="str">
            <v>Wildtype</v>
          </cell>
          <cell r="J365">
            <v>0.25</v>
          </cell>
          <cell r="K365">
            <v>5</v>
          </cell>
        </row>
        <row r="366">
          <cell r="A366" t="str">
            <v>C430</v>
          </cell>
          <cell r="B366">
            <v>53.339300000000001</v>
          </cell>
          <cell r="C366">
            <v>6.2965</v>
          </cell>
          <cell r="D366">
            <v>2021</v>
          </cell>
          <cell r="E366" t="str">
            <v>Republic of Ireland</v>
          </cell>
          <cell r="F366" t="str">
            <v>Wildtype</v>
          </cell>
          <cell r="G366">
            <v>0</v>
          </cell>
          <cell r="H366" t="str">
            <v>Clinical</v>
          </cell>
          <cell r="I366" t="str">
            <v>Wildtype</v>
          </cell>
          <cell r="K366">
            <v>3</v>
          </cell>
        </row>
        <row r="367">
          <cell r="A367" t="str">
            <v>C431</v>
          </cell>
          <cell r="B367">
            <v>53.339300000000001</v>
          </cell>
          <cell r="C367">
            <v>6.2965</v>
          </cell>
          <cell r="D367">
            <v>2021</v>
          </cell>
          <cell r="E367" t="str">
            <v>Republic of Ireland</v>
          </cell>
          <cell r="F367" t="str">
            <v>Wildtype</v>
          </cell>
          <cell r="G367">
            <v>0</v>
          </cell>
          <cell r="H367" t="str">
            <v>Clinical</v>
          </cell>
          <cell r="I367" t="str">
            <v>Wildtype</v>
          </cell>
          <cell r="K367">
            <v>5</v>
          </cell>
        </row>
        <row r="368">
          <cell r="A368" t="str">
            <v>C432</v>
          </cell>
          <cell r="B368">
            <v>53.339300000000001</v>
          </cell>
          <cell r="C368">
            <v>6.2965</v>
          </cell>
          <cell r="D368">
            <v>2021</v>
          </cell>
          <cell r="E368" t="str">
            <v>Republic of Ireland</v>
          </cell>
          <cell r="F368" t="str">
            <v>Wildtype</v>
          </cell>
          <cell r="G368">
            <v>0</v>
          </cell>
          <cell r="H368" t="str">
            <v>Clinical</v>
          </cell>
          <cell r="I368" t="str">
            <v>Wildtype</v>
          </cell>
          <cell r="K368">
            <v>5</v>
          </cell>
        </row>
        <row r="369">
          <cell r="A369" t="str">
            <v>C433</v>
          </cell>
          <cell r="B369">
            <v>53.339300000000001</v>
          </cell>
          <cell r="C369">
            <v>6.2965</v>
          </cell>
          <cell r="D369">
            <v>2021</v>
          </cell>
          <cell r="E369" t="str">
            <v>Republic of Ireland</v>
          </cell>
          <cell r="F369" t="str">
            <v>Wildtype</v>
          </cell>
          <cell r="G369">
            <v>0</v>
          </cell>
          <cell r="H369" t="str">
            <v>Clinical</v>
          </cell>
          <cell r="I369" t="str">
            <v>F219Y</v>
          </cell>
          <cell r="K369">
            <v>3</v>
          </cell>
        </row>
        <row r="370">
          <cell r="A370" t="str">
            <v>C434</v>
          </cell>
          <cell r="B370">
            <v>53.339300000000001</v>
          </cell>
          <cell r="C370">
            <v>6.2965</v>
          </cell>
          <cell r="D370">
            <v>2021</v>
          </cell>
          <cell r="E370" t="str">
            <v>Republic of Ireland</v>
          </cell>
          <cell r="F370" t="str">
            <v>Wildtype</v>
          </cell>
          <cell r="G370">
            <v>0</v>
          </cell>
          <cell r="H370" t="str">
            <v>Clinical</v>
          </cell>
          <cell r="I370" t="str">
            <v>Wildtype</v>
          </cell>
          <cell r="K370">
            <v>3</v>
          </cell>
        </row>
        <row r="371">
          <cell r="A371" t="str">
            <v>C435</v>
          </cell>
          <cell r="B371">
            <v>53.339300000000001</v>
          </cell>
          <cell r="C371">
            <v>6.2965</v>
          </cell>
          <cell r="D371">
            <v>2021</v>
          </cell>
          <cell r="E371" t="str">
            <v>Republic of Ireland</v>
          </cell>
          <cell r="F371" t="str">
            <v>Wildtype</v>
          </cell>
          <cell r="G371">
            <v>0</v>
          </cell>
          <cell r="H371" t="str">
            <v>Clinical</v>
          </cell>
          <cell r="I371" t="str">
            <v>Wildtype</v>
          </cell>
          <cell r="K371">
            <v>5</v>
          </cell>
        </row>
        <row r="372">
          <cell r="A372" t="str">
            <v>C436</v>
          </cell>
          <cell r="B372">
            <v>53.339300000000001</v>
          </cell>
          <cell r="C372">
            <v>6.2965</v>
          </cell>
          <cell r="D372">
            <v>2021</v>
          </cell>
          <cell r="E372" t="str">
            <v>Republic of Ireland</v>
          </cell>
          <cell r="F372" t="str">
            <v>Wildtype</v>
          </cell>
          <cell r="G372">
            <v>0</v>
          </cell>
          <cell r="H372" t="str">
            <v>Clinical</v>
          </cell>
          <cell r="I372" t="str">
            <v>Wildtype</v>
          </cell>
          <cell r="K372">
            <v>5</v>
          </cell>
        </row>
        <row r="373">
          <cell r="A373" t="str">
            <v>C437</v>
          </cell>
          <cell r="B373">
            <v>53.339300000000001</v>
          </cell>
          <cell r="C373">
            <v>6.2965</v>
          </cell>
          <cell r="D373">
            <v>2021</v>
          </cell>
          <cell r="E373" t="str">
            <v>Republic of Ireland</v>
          </cell>
          <cell r="F373" t="str">
            <v>Wildtype</v>
          </cell>
          <cell r="G373">
            <v>0</v>
          </cell>
          <cell r="H373" t="str">
            <v>Clinical</v>
          </cell>
          <cell r="I373" t="str">
            <v>Wildtype</v>
          </cell>
          <cell r="K373">
            <v>5</v>
          </cell>
        </row>
        <row r="374">
          <cell r="A374" t="str">
            <v>C438</v>
          </cell>
          <cell r="B374">
            <v>53.339300000000001</v>
          </cell>
          <cell r="C374">
            <v>6.2965</v>
          </cell>
          <cell r="D374">
            <v>2021</v>
          </cell>
          <cell r="E374" t="str">
            <v>Republic of Ireland</v>
          </cell>
          <cell r="F374" t="str">
            <v>TR34/L98H</v>
          </cell>
          <cell r="G374">
            <v>0</v>
          </cell>
          <cell r="H374" t="str">
            <v>Clinical</v>
          </cell>
          <cell r="I374" t="str">
            <v>Wildtype</v>
          </cell>
          <cell r="K374">
            <v>2</v>
          </cell>
        </row>
        <row r="375">
          <cell r="A375" t="str">
            <v>C439</v>
          </cell>
          <cell r="B375">
            <v>53.339300000000001</v>
          </cell>
          <cell r="C375">
            <v>6.2965</v>
          </cell>
          <cell r="D375">
            <v>2021</v>
          </cell>
          <cell r="E375" t="str">
            <v>Republic of Ireland</v>
          </cell>
          <cell r="F375" t="str">
            <v>Wildtype</v>
          </cell>
          <cell r="G375">
            <v>0</v>
          </cell>
          <cell r="H375" t="str">
            <v>Clinical</v>
          </cell>
          <cell r="I375" t="str">
            <v>Wildtype</v>
          </cell>
          <cell r="K375">
            <v>5</v>
          </cell>
        </row>
        <row r="376">
          <cell r="A376" t="str">
            <v>C44</v>
          </cell>
          <cell r="B376">
            <v>53.349805000000003</v>
          </cell>
          <cell r="C376">
            <v>-6.2603099999999996</v>
          </cell>
          <cell r="D376">
            <v>2011</v>
          </cell>
          <cell r="E376" t="str">
            <v>Republic of Ireland</v>
          </cell>
          <cell r="F376" t="str">
            <v>Wildtype</v>
          </cell>
          <cell r="G376" t="str">
            <v>MAT1-2</v>
          </cell>
          <cell r="H376" t="str">
            <v>Clinical</v>
          </cell>
          <cell r="I376" t="str">
            <v>Wildtype</v>
          </cell>
          <cell r="J376">
            <v>0.25</v>
          </cell>
          <cell r="K376">
            <v>1</v>
          </cell>
        </row>
        <row r="377">
          <cell r="A377" t="str">
            <v>C440</v>
          </cell>
          <cell r="B377">
            <v>53.339300000000001</v>
          </cell>
          <cell r="C377">
            <v>6.2965</v>
          </cell>
          <cell r="D377">
            <v>2021</v>
          </cell>
          <cell r="E377" t="str">
            <v>Republic of Ireland</v>
          </cell>
          <cell r="F377" t="str">
            <v>Wildtype</v>
          </cell>
          <cell r="G377">
            <v>0</v>
          </cell>
          <cell r="H377" t="str">
            <v>Clinical</v>
          </cell>
          <cell r="I377" t="str">
            <v>Wildtype</v>
          </cell>
          <cell r="K377">
            <v>5</v>
          </cell>
        </row>
        <row r="378">
          <cell r="A378" t="str">
            <v>C441</v>
          </cell>
          <cell r="B378">
            <v>53.339300000000001</v>
          </cell>
          <cell r="C378">
            <v>6.2965</v>
          </cell>
          <cell r="D378">
            <v>2021</v>
          </cell>
          <cell r="E378" t="str">
            <v>Republic of Ireland</v>
          </cell>
          <cell r="F378" t="str">
            <v>TR34/L98H</v>
          </cell>
          <cell r="G378">
            <v>0</v>
          </cell>
          <cell r="H378" t="str">
            <v>Clinical</v>
          </cell>
          <cell r="I378" t="str">
            <v>Wildtype</v>
          </cell>
          <cell r="K378">
            <v>3</v>
          </cell>
        </row>
        <row r="379">
          <cell r="A379" t="str">
            <v>C442</v>
          </cell>
          <cell r="B379">
            <v>53.339300000000001</v>
          </cell>
          <cell r="C379">
            <v>6.2965</v>
          </cell>
          <cell r="D379">
            <v>2021</v>
          </cell>
          <cell r="E379" t="str">
            <v>Republic of Ireland</v>
          </cell>
          <cell r="F379" t="str">
            <v>TR34/L98H</v>
          </cell>
          <cell r="G379">
            <v>0</v>
          </cell>
          <cell r="H379" t="str">
            <v>Clinical</v>
          </cell>
          <cell r="I379" t="str">
            <v>Wildtype</v>
          </cell>
          <cell r="K379">
            <v>3</v>
          </cell>
        </row>
        <row r="380">
          <cell r="A380" t="str">
            <v>C443</v>
          </cell>
          <cell r="B380">
            <v>53.339300000000001</v>
          </cell>
          <cell r="C380">
            <v>6.2965</v>
          </cell>
          <cell r="D380">
            <v>2021</v>
          </cell>
          <cell r="E380" t="str">
            <v>Republic of Ireland</v>
          </cell>
          <cell r="F380" t="str">
            <v>Wildtype</v>
          </cell>
          <cell r="G380">
            <v>0</v>
          </cell>
          <cell r="H380" t="str">
            <v>Clinical</v>
          </cell>
          <cell r="I380" t="str">
            <v>Wildtype</v>
          </cell>
          <cell r="K380">
            <v>3</v>
          </cell>
        </row>
        <row r="381">
          <cell r="A381" t="str">
            <v>C444</v>
          </cell>
          <cell r="B381">
            <v>53.339300000000001</v>
          </cell>
          <cell r="C381">
            <v>6.2965</v>
          </cell>
          <cell r="D381">
            <v>2021</v>
          </cell>
          <cell r="E381" t="str">
            <v>Republic of Ireland</v>
          </cell>
          <cell r="F381" t="str">
            <v>TR34/L98H</v>
          </cell>
          <cell r="G381">
            <v>0</v>
          </cell>
          <cell r="H381" t="str">
            <v>Clinical</v>
          </cell>
          <cell r="I381" t="str">
            <v>Wildtype</v>
          </cell>
          <cell r="K381">
            <v>3</v>
          </cell>
        </row>
        <row r="382">
          <cell r="A382" t="str">
            <v>C445</v>
          </cell>
          <cell r="B382">
            <v>37.431600000000003</v>
          </cell>
          <cell r="C382">
            <v>-78.656899999999993</v>
          </cell>
          <cell r="D382">
            <v>2016</v>
          </cell>
          <cell r="E382" t="str">
            <v>USA</v>
          </cell>
          <cell r="F382" t="str">
            <v>TR34/L98H</v>
          </cell>
          <cell r="G382">
            <v>0</v>
          </cell>
          <cell r="H382" t="str">
            <v>Clinical</v>
          </cell>
          <cell r="I382" t="str">
            <v>F219Y</v>
          </cell>
          <cell r="K382">
            <v>4</v>
          </cell>
        </row>
        <row r="383">
          <cell r="A383" t="str">
            <v>C446</v>
          </cell>
          <cell r="B383">
            <v>46.8797</v>
          </cell>
          <cell r="C383">
            <v>-110.3626</v>
          </cell>
          <cell r="D383">
            <v>2016</v>
          </cell>
          <cell r="E383" t="str">
            <v>USA</v>
          </cell>
          <cell r="F383" t="str">
            <v>Wildtype</v>
          </cell>
          <cell r="G383">
            <v>0</v>
          </cell>
          <cell r="H383" t="str">
            <v>Clinical</v>
          </cell>
          <cell r="I383" t="str">
            <v>Wildtype</v>
          </cell>
          <cell r="K383">
            <v>1</v>
          </cell>
        </row>
        <row r="384">
          <cell r="A384" t="str">
            <v>C447</v>
          </cell>
          <cell r="B384">
            <v>40.417299999999997</v>
          </cell>
          <cell r="C384">
            <v>-82.9071</v>
          </cell>
          <cell r="D384">
            <v>2015</v>
          </cell>
          <cell r="E384" t="str">
            <v>USA</v>
          </cell>
          <cell r="F384" t="str">
            <v>Wildtype</v>
          </cell>
          <cell r="G384">
            <v>0</v>
          </cell>
          <cell r="H384" t="str">
            <v>Clinical</v>
          </cell>
          <cell r="I384" t="str">
            <v>Wildtype</v>
          </cell>
          <cell r="K384">
            <v>4</v>
          </cell>
        </row>
        <row r="385">
          <cell r="A385" t="str">
            <v>C448</v>
          </cell>
          <cell r="B385">
            <v>32.165599999999998</v>
          </cell>
          <cell r="C385">
            <v>-82.900099999999995</v>
          </cell>
          <cell r="D385">
            <v>2015</v>
          </cell>
          <cell r="E385" t="str">
            <v>USA</v>
          </cell>
          <cell r="F385" t="str">
            <v>Wildtype</v>
          </cell>
          <cell r="G385">
            <v>0</v>
          </cell>
          <cell r="H385" t="str">
            <v>Clinical</v>
          </cell>
          <cell r="I385" t="str">
            <v>Wildtype</v>
          </cell>
          <cell r="K385">
            <v>4</v>
          </cell>
        </row>
        <row r="386">
          <cell r="A386" t="str">
            <v>C449</v>
          </cell>
          <cell r="B386">
            <v>32.165599999999998</v>
          </cell>
          <cell r="C386">
            <v>-82.900099999999995</v>
          </cell>
          <cell r="D386">
            <v>2015</v>
          </cell>
          <cell r="E386" t="str">
            <v>USA</v>
          </cell>
          <cell r="F386" t="str">
            <v>Wildtype</v>
          </cell>
          <cell r="G386">
            <v>0</v>
          </cell>
          <cell r="H386" t="str">
            <v>Clinical</v>
          </cell>
          <cell r="I386" t="str">
            <v>Wildtype</v>
          </cell>
          <cell r="K386">
            <v>4</v>
          </cell>
        </row>
        <row r="387">
          <cell r="A387" t="str">
            <v>C45</v>
          </cell>
          <cell r="B387">
            <v>53.349805000000003</v>
          </cell>
          <cell r="C387">
            <v>-6.2603099999999996</v>
          </cell>
          <cell r="D387">
            <v>2011</v>
          </cell>
          <cell r="E387" t="str">
            <v>Republic of Ireland</v>
          </cell>
          <cell r="F387" t="str">
            <v>Wildtype</v>
          </cell>
          <cell r="G387" t="str">
            <v>MAT1-2</v>
          </cell>
          <cell r="H387" t="str">
            <v>Clinical</v>
          </cell>
          <cell r="I387" t="str">
            <v>Wildtype</v>
          </cell>
          <cell r="J387">
            <v>0.03</v>
          </cell>
          <cell r="K387">
            <v>4</v>
          </cell>
        </row>
        <row r="388">
          <cell r="A388" t="str">
            <v>C450</v>
          </cell>
          <cell r="B388">
            <v>36.778300000000002</v>
          </cell>
          <cell r="C388">
            <v>-119.4179</v>
          </cell>
          <cell r="D388">
            <v>2016</v>
          </cell>
          <cell r="E388" t="str">
            <v>USA</v>
          </cell>
          <cell r="F388" t="str">
            <v>Wildtype</v>
          </cell>
          <cell r="G388">
            <v>0</v>
          </cell>
          <cell r="H388" t="str">
            <v>Clinical</v>
          </cell>
          <cell r="I388" t="str">
            <v>Wildtype</v>
          </cell>
          <cell r="K388">
            <v>5</v>
          </cell>
        </row>
        <row r="389">
          <cell r="A389" t="str">
            <v>C451</v>
          </cell>
          <cell r="B389">
            <v>40.633099999999999</v>
          </cell>
          <cell r="C389">
            <v>-89.398499999999999</v>
          </cell>
          <cell r="D389">
            <v>2016</v>
          </cell>
          <cell r="E389" t="str">
            <v>USA</v>
          </cell>
          <cell r="F389" t="str">
            <v>Wildtype</v>
          </cell>
          <cell r="G389">
            <v>0</v>
          </cell>
          <cell r="H389" t="str">
            <v>Clinical</v>
          </cell>
          <cell r="I389" t="str">
            <v>Wildtype</v>
          </cell>
          <cell r="K389">
            <v>5</v>
          </cell>
        </row>
        <row r="390">
          <cell r="A390" t="str">
            <v>C452</v>
          </cell>
          <cell r="B390">
            <v>37.431600000000003</v>
          </cell>
          <cell r="C390">
            <v>-78.656899999999993</v>
          </cell>
          <cell r="D390">
            <v>2016</v>
          </cell>
          <cell r="E390" t="str">
            <v>USA</v>
          </cell>
          <cell r="F390" t="str">
            <v>Wildtype</v>
          </cell>
          <cell r="G390">
            <v>0</v>
          </cell>
          <cell r="H390" t="str">
            <v>Clinical</v>
          </cell>
          <cell r="I390" t="str">
            <v>Wildtype</v>
          </cell>
          <cell r="K390">
            <v>5</v>
          </cell>
        </row>
        <row r="391">
          <cell r="A391" t="str">
            <v>C453</v>
          </cell>
          <cell r="B391">
            <v>36.778300000000002</v>
          </cell>
          <cell r="C391">
            <v>-119.4179</v>
          </cell>
          <cell r="D391">
            <v>2016</v>
          </cell>
          <cell r="E391" t="str">
            <v>USA</v>
          </cell>
          <cell r="F391" t="str">
            <v>Wildtype</v>
          </cell>
          <cell r="G391">
            <v>0</v>
          </cell>
          <cell r="H391" t="str">
            <v>Clinical</v>
          </cell>
          <cell r="I391" t="str">
            <v>Wildtype</v>
          </cell>
          <cell r="K391">
            <v>4</v>
          </cell>
        </row>
        <row r="392">
          <cell r="A392" t="str">
            <v>C454</v>
          </cell>
          <cell r="B392">
            <v>36.778300000000002</v>
          </cell>
          <cell r="C392">
            <v>-119.4179</v>
          </cell>
          <cell r="D392">
            <v>2016</v>
          </cell>
          <cell r="E392" t="str">
            <v>USA</v>
          </cell>
          <cell r="F392" t="str">
            <v>Wildtype</v>
          </cell>
          <cell r="G392">
            <v>0</v>
          </cell>
          <cell r="H392" t="str">
            <v>Clinical</v>
          </cell>
          <cell r="I392" t="str">
            <v>Wildtype</v>
          </cell>
          <cell r="K392">
            <v>5</v>
          </cell>
        </row>
        <row r="393">
          <cell r="A393" t="str">
            <v>C455</v>
          </cell>
          <cell r="B393">
            <v>30.984300000000001</v>
          </cell>
          <cell r="C393">
            <v>-91.962299999999999</v>
          </cell>
          <cell r="D393">
            <v>2016</v>
          </cell>
          <cell r="E393" t="str">
            <v>USA</v>
          </cell>
          <cell r="F393" t="str">
            <v>Wildtype</v>
          </cell>
          <cell r="G393">
            <v>0</v>
          </cell>
          <cell r="H393" t="str">
            <v>Clinical</v>
          </cell>
          <cell r="I393" t="str">
            <v>Wildtype</v>
          </cell>
          <cell r="K393">
            <v>4</v>
          </cell>
        </row>
        <row r="394">
          <cell r="A394" t="str">
            <v>C456</v>
          </cell>
          <cell r="B394">
            <v>34.048900000000003</v>
          </cell>
          <cell r="C394">
            <v>-111.0937</v>
          </cell>
          <cell r="D394">
            <v>2016</v>
          </cell>
          <cell r="E394" t="str">
            <v>USA</v>
          </cell>
          <cell r="F394" t="str">
            <v>Wildtype</v>
          </cell>
          <cell r="G394">
            <v>0</v>
          </cell>
          <cell r="H394" t="str">
            <v>Clinical</v>
          </cell>
          <cell r="I394" t="str">
            <v>Wildtype</v>
          </cell>
          <cell r="K394">
            <v>5</v>
          </cell>
        </row>
        <row r="395">
          <cell r="A395" t="str">
            <v>C457</v>
          </cell>
          <cell r="B395">
            <v>42.407200000000003</v>
          </cell>
          <cell r="C395">
            <v>-71.382400000000004</v>
          </cell>
          <cell r="D395">
            <v>2016</v>
          </cell>
          <cell r="E395" t="str">
            <v>USA</v>
          </cell>
          <cell r="F395" t="str">
            <v>Wildtype</v>
          </cell>
          <cell r="G395">
            <v>0</v>
          </cell>
          <cell r="H395" t="str">
            <v>Clinical</v>
          </cell>
          <cell r="I395" t="str">
            <v>Wildtype</v>
          </cell>
          <cell r="K395">
            <v>4</v>
          </cell>
        </row>
        <row r="396">
          <cell r="A396" t="str">
            <v>C458</v>
          </cell>
          <cell r="B396">
            <v>27.6648</v>
          </cell>
          <cell r="C396">
            <v>-81.515799999999999</v>
          </cell>
          <cell r="D396">
            <v>2016</v>
          </cell>
          <cell r="E396" t="str">
            <v>USA</v>
          </cell>
          <cell r="F396" t="str">
            <v>Wildtype</v>
          </cell>
          <cell r="G396">
            <v>0</v>
          </cell>
          <cell r="H396" t="str">
            <v>Clinical</v>
          </cell>
          <cell r="I396" t="str">
            <v>Wildtype</v>
          </cell>
          <cell r="K396">
            <v>4</v>
          </cell>
        </row>
        <row r="397">
          <cell r="A397" t="str">
            <v>C459</v>
          </cell>
          <cell r="B397">
            <v>40.633099999999999</v>
          </cell>
          <cell r="C397">
            <v>-89.398499999999999</v>
          </cell>
          <cell r="D397">
            <v>2016</v>
          </cell>
          <cell r="E397" t="str">
            <v>USA</v>
          </cell>
          <cell r="F397" t="str">
            <v>Wildtype</v>
          </cell>
          <cell r="G397">
            <v>0</v>
          </cell>
          <cell r="H397" t="str">
            <v>Clinical</v>
          </cell>
          <cell r="I397" t="str">
            <v>Wildtype</v>
          </cell>
          <cell r="K397">
            <v>5</v>
          </cell>
        </row>
        <row r="398">
          <cell r="A398" t="str">
            <v>C46</v>
          </cell>
          <cell r="B398">
            <v>53.349805000000003</v>
          </cell>
          <cell r="C398">
            <v>-6.2603099999999996</v>
          </cell>
          <cell r="D398">
            <v>2011</v>
          </cell>
          <cell r="E398" t="str">
            <v>Republic of Ireland</v>
          </cell>
          <cell r="F398" t="str">
            <v>Wildtype</v>
          </cell>
          <cell r="G398" t="str">
            <v>MAT1-2</v>
          </cell>
          <cell r="H398" t="str">
            <v>Clinical</v>
          </cell>
          <cell r="I398" t="str">
            <v>Wildtype</v>
          </cell>
          <cell r="J398">
            <v>0.03</v>
          </cell>
          <cell r="K398">
            <v>4</v>
          </cell>
        </row>
        <row r="399">
          <cell r="A399" t="str">
            <v>C460</v>
          </cell>
          <cell r="B399">
            <v>40.417299999999997</v>
          </cell>
          <cell r="C399">
            <v>-82.9071</v>
          </cell>
          <cell r="D399">
            <v>2015</v>
          </cell>
          <cell r="E399" t="str">
            <v>USA</v>
          </cell>
          <cell r="F399" t="str">
            <v>Wildtype</v>
          </cell>
          <cell r="G399">
            <v>0</v>
          </cell>
          <cell r="H399" t="str">
            <v>Clinical</v>
          </cell>
          <cell r="I399" t="str">
            <v>Wildtype</v>
          </cell>
          <cell r="K399">
            <v>4</v>
          </cell>
        </row>
        <row r="400">
          <cell r="A400" t="str">
            <v>C461</v>
          </cell>
          <cell r="B400">
            <v>27.6648</v>
          </cell>
          <cell r="C400">
            <v>-81.515799999999999</v>
          </cell>
          <cell r="D400">
            <v>2016</v>
          </cell>
          <cell r="E400" t="str">
            <v>USA</v>
          </cell>
          <cell r="F400" t="str">
            <v>Wildtype</v>
          </cell>
          <cell r="G400">
            <v>0</v>
          </cell>
          <cell r="H400" t="str">
            <v>Clinical</v>
          </cell>
          <cell r="I400" t="str">
            <v>Wildtype</v>
          </cell>
          <cell r="K400">
            <v>4</v>
          </cell>
        </row>
        <row r="401">
          <cell r="A401" t="str">
            <v>C462</v>
          </cell>
          <cell r="B401">
            <v>41.203299999999999</v>
          </cell>
          <cell r="C401">
            <v>-77.194500000000005</v>
          </cell>
          <cell r="D401">
            <v>2016</v>
          </cell>
          <cell r="E401" t="str">
            <v>USA</v>
          </cell>
          <cell r="F401" t="str">
            <v>TR34/L98H</v>
          </cell>
          <cell r="G401">
            <v>0</v>
          </cell>
          <cell r="H401" t="str">
            <v>Clinical</v>
          </cell>
          <cell r="I401" t="str">
            <v>F219Y</v>
          </cell>
          <cell r="K401">
            <v>3</v>
          </cell>
        </row>
        <row r="402">
          <cell r="A402" t="str">
            <v>C463</v>
          </cell>
          <cell r="B402">
            <v>32.165599999999998</v>
          </cell>
          <cell r="C402">
            <v>-82.900099999999995</v>
          </cell>
          <cell r="D402">
            <v>2016</v>
          </cell>
          <cell r="E402" t="str">
            <v>USA</v>
          </cell>
          <cell r="F402" t="str">
            <v>Wildtype</v>
          </cell>
          <cell r="G402">
            <v>0</v>
          </cell>
          <cell r="H402" t="str">
            <v>Clinical</v>
          </cell>
          <cell r="I402" t="str">
            <v>Wildtype</v>
          </cell>
          <cell r="K402">
            <v>4</v>
          </cell>
        </row>
        <row r="403">
          <cell r="A403" t="str">
            <v>C464</v>
          </cell>
          <cell r="B403">
            <v>27.6648</v>
          </cell>
          <cell r="C403">
            <v>-81.515799999999999</v>
          </cell>
          <cell r="D403">
            <v>2016</v>
          </cell>
          <cell r="E403" t="str">
            <v>USA</v>
          </cell>
          <cell r="F403" t="str">
            <v>Wildtype</v>
          </cell>
          <cell r="G403">
            <v>0</v>
          </cell>
          <cell r="H403" t="str">
            <v>Clinical</v>
          </cell>
          <cell r="I403" t="str">
            <v>Wildtype</v>
          </cell>
          <cell r="K403">
            <v>5</v>
          </cell>
        </row>
        <row r="404">
          <cell r="A404" t="str">
            <v>C465</v>
          </cell>
          <cell r="B404">
            <v>34.048900000000003</v>
          </cell>
          <cell r="C404">
            <v>-111.0937</v>
          </cell>
          <cell r="D404">
            <v>2016</v>
          </cell>
          <cell r="E404" t="str">
            <v>USA</v>
          </cell>
          <cell r="F404" t="str">
            <v>Wildtype</v>
          </cell>
          <cell r="G404">
            <v>0</v>
          </cell>
          <cell r="H404" t="str">
            <v>Clinical</v>
          </cell>
          <cell r="I404" t="str">
            <v>Wildtype</v>
          </cell>
          <cell r="K404">
            <v>5</v>
          </cell>
        </row>
        <row r="405">
          <cell r="A405" t="str">
            <v>C466</v>
          </cell>
          <cell r="B405">
            <v>34.048900000000003</v>
          </cell>
          <cell r="C405">
            <v>-111.0937</v>
          </cell>
          <cell r="D405">
            <v>2016</v>
          </cell>
          <cell r="E405" t="str">
            <v>USA</v>
          </cell>
          <cell r="F405" t="str">
            <v>Wildtype</v>
          </cell>
          <cell r="G405">
            <v>0</v>
          </cell>
          <cell r="H405" t="str">
            <v>Clinical</v>
          </cell>
          <cell r="I405" t="str">
            <v>Wildtype</v>
          </cell>
          <cell r="K405">
            <v>4</v>
          </cell>
        </row>
        <row r="406">
          <cell r="A406" t="str">
            <v>C467</v>
          </cell>
          <cell r="B406">
            <v>36.778300000000002</v>
          </cell>
          <cell r="C406">
            <v>-119.4179</v>
          </cell>
          <cell r="D406">
            <v>2016</v>
          </cell>
          <cell r="E406" t="str">
            <v>USA</v>
          </cell>
          <cell r="F406" t="str">
            <v>Wildtype</v>
          </cell>
          <cell r="G406">
            <v>0</v>
          </cell>
          <cell r="H406" t="str">
            <v>Clinical</v>
          </cell>
          <cell r="I406" t="str">
            <v>Wildtype</v>
          </cell>
          <cell r="K406">
            <v>5</v>
          </cell>
        </row>
        <row r="407">
          <cell r="A407" t="str">
            <v>C468</v>
          </cell>
          <cell r="B407">
            <v>36.778300000000002</v>
          </cell>
          <cell r="C407">
            <v>-119.4179</v>
          </cell>
          <cell r="D407">
            <v>2016</v>
          </cell>
          <cell r="E407" t="str">
            <v>USA</v>
          </cell>
          <cell r="F407" t="str">
            <v>Wildtype</v>
          </cell>
          <cell r="G407">
            <v>0</v>
          </cell>
          <cell r="H407" t="str">
            <v>Clinical</v>
          </cell>
          <cell r="I407" t="str">
            <v>Wildtype</v>
          </cell>
          <cell r="K407">
            <v>4</v>
          </cell>
        </row>
        <row r="408">
          <cell r="A408" t="str">
            <v>C469</v>
          </cell>
          <cell r="B408">
            <v>30.984300000000001</v>
          </cell>
          <cell r="C408">
            <v>-91.962299999999999</v>
          </cell>
          <cell r="D408">
            <v>2016</v>
          </cell>
          <cell r="E408" t="str">
            <v>USA</v>
          </cell>
          <cell r="F408" t="str">
            <v>Wildtype</v>
          </cell>
          <cell r="G408">
            <v>0</v>
          </cell>
          <cell r="H408" t="str">
            <v>Clinical</v>
          </cell>
          <cell r="I408" t="str">
            <v>Wildtype</v>
          </cell>
          <cell r="K408">
            <v>4</v>
          </cell>
        </row>
        <row r="409">
          <cell r="A409" t="str">
            <v>C47</v>
          </cell>
          <cell r="B409">
            <v>53.349805000000003</v>
          </cell>
          <cell r="C409">
            <v>-6.2603099999999996</v>
          </cell>
          <cell r="D409">
            <v>2011</v>
          </cell>
          <cell r="E409" t="str">
            <v>Republic of Ireland</v>
          </cell>
          <cell r="F409" t="str">
            <v>Wildtype</v>
          </cell>
          <cell r="G409" t="str">
            <v>MAT1-2</v>
          </cell>
          <cell r="H409" t="str">
            <v>Clinical</v>
          </cell>
          <cell r="I409" t="str">
            <v>Wildtype</v>
          </cell>
          <cell r="J409">
            <v>0.03</v>
          </cell>
          <cell r="K409">
            <v>1</v>
          </cell>
        </row>
        <row r="410">
          <cell r="A410" t="str">
            <v>C470</v>
          </cell>
          <cell r="B410">
            <v>31.968599999999999</v>
          </cell>
          <cell r="C410">
            <v>-99.901799999999994</v>
          </cell>
          <cell r="D410">
            <v>2016</v>
          </cell>
          <cell r="E410" t="str">
            <v>USA</v>
          </cell>
          <cell r="F410" t="str">
            <v>Wildtype</v>
          </cell>
          <cell r="G410">
            <v>0</v>
          </cell>
          <cell r="H410" t="str">
            <v>Clinical</v>
          </cell>
          <cell r="I410" t="str">
            <v>Wildtype</v>
          </cell>
          <cell r="K410">
            <v>4</v>
          </cell>
        </row>
        <row r="411">
          <cell r="A411" t="str">
            <v>C471</v>
          </cell>
          <cell r="B411">
            <v>40.267200000000003</v>
          </cell>
          <cell r="C411">
            <v>-86.134900000000002</v>
          </cell>
          <cell r="D411">
            <v>2015</v>
          </cell>
          <cell r="E411" t="str">
            <v>USA</v>
          </cell>
          <cell r="F411" t="str">
            <v>Wildtype</v>
          </cell>
          <cell r="G411">
            <v>0</v>
          </cell>
          <cell r="H411" t="str">
            <v>Clinical</v>
          </cell>
          <cell r="I411" t="str">
            <v>Wildtype</v>
          </cell>
          <cell r="K411">
            <v>4</v>
          </cell>
        </row>
        <row r="412">
          <cell r="A412" t="str">
            <v>C472</v>
          </cell>
          <cell r="B412">
            <v>44.314799999999998</v>
          </cell>
          <cell r="C412">
            <v>-85.602400000000003</v>
          </cell>
          <cell r="D412">
            <v>2016</v>
          </cell>
          <cell r="E412" t="str">
            <v>USA</v>
          </cell>
          <cell r="F412" t="str">
            <v>Wildtype</v>
          </cell>
          <cell r="G412">
            <v>0</v>
          </cell>
          <cell r="H412" t="str">
            <v>Clinical</v>
          </cell>
          <cell r="I412" t="str">
            <v>Wildtype</v>
          </cell>
          <cell r="K412">
            <v>4</v>
          </cell>
        </row>
        <row r="413">
          <cell r="A413" t="str">
            <v>C473</v>
          </cell>
          <cell r="B413">
            <v>36.778300000000002</v>
          </cell>
          <cell r="C413">
            <v>-119.4179</v>
          </cell>
          <cell r="D413">
            <v>2016</v>
          </cell>
          <cell r="E413" t="str">
            <v>USA</v>
          </cell>
          <cell r="F413" t="str">
            <v>Wildtype</v>
          </cell>
          <cell r="G413">
            <v>0</v>
          </cell>
          <cell r="H413" t="str">
            <v>Clinical</v>
          </cell>
          <cell r="I413" t="str">
            <v>Wildtype</v>
          </cell>
          <cell r="K413">
            <v>5</v>
          </cell>
        </row>
        <row r="414">
          <cell r="A414" t="str">
            <v>C474</v>
          </cell>
          <cell r="B414">
            <v>36.778300000000002</v>
          </cell>
          <cell r="C414">
            <v>-119.4179</v>
          </cell>
          <cell r="D414">
            <v>2016</v>
          </cell>
          <cell r="E414" t="str">
            <v>USA</v>
          </cell>
          <cell r="F414" t="str">
            <v>Wildtype</v>
          </cell>
          <cell r="G414">
            <v>0</v>
          </cell>
          <cell r="H414" t="str">
            <v>Clinical</v>
          </cell>
          <cell r="I414" t="str">
            <v>Wildtype</v>
          </cell>
          <cell r="K414">
            <v>4</v>
          </cell>
        </row>
        <row r="415">
          <cell r="A415" t="str">
            <v>C475</v>
          </cell>
          <cell r="B415">
            <v>34.048900000000003</v>
          </cell>
          <cell r="C415">
            <v>-111.0937</v>
          </cell>
          <cell r="D415">
            <v>2016</v>
          </cell>
          <cell r="E415" t="str">
            <v>USA</v>
          </cell>
          <cell r="F415" t="str">
            <v>Wildtype</v>
          </cell>
          <cell r="G415">
            <v>0</v>
          </cell>
          <cell r="H415" t="str">
            <v>Clinical</v>
          </cell>
          <cell r="I415" t="str">
            <v>Wildtype</v>
          </cell>
          <cell r="K415">
            <v>5</v>
          </cell>
        </row>
        <row r="416">
          <cell r="A416" t="str">
            <v>C476</v>
          </cell>
          <cell r="B416">
            <v>35.517499999999998</v>
          </cell>
          <cell r="C416">
            <v>-86.580399999999997</v>
          </cell>
          <cell r="D416">
            <v>2015</v>
          </cell>
          <cell r="E416" t="str">
            <v>USA</v>
          </cell>
          <cell r="F416" t="str">
            <v>Wildtype</v>
          </cell>
          <cell r="G416">
            <v>0</v>
          </cell>
          <cell r="H416" t="str">
            <v>Clinical</v>
          </cell>
          <cell r="I416" t="str">
            <v>Wildtype</v>
          </cell>
          <cell r="K416">
            <v>4</v>
          </cell>
        </row>
        <row r="417">
          <cell r="A417" t="str">
            <v>C477</v>
          </cell>
          <cell r="B417">
            <v>34.048900000000003</v>
          </cell>
          <cell r="C417">
            <v>-111.0937</v>
          </cell>
          <cell r="D417">
            <v>2016</v>
          </cell>
          <cell r="E417" t="str">
            <v>USA</v>
          </cell>
          <cell r="F417" t="str">
            <v>Wildtype</v>
          </cell>
          <cell r="G417">
            <v>0</v>
          </cell>
          <cell r="H417" t="str">
            <v>Clinical</v>
          </cell>
          <cell r="I417" t="str">
            <v>Wildtype</v>
          </cell>
          <cell r="K417">
            <v>4</v>
          </cell>
        </row>
        <row r="418">
          <cell r="A418" t="str">
            <v>C478</v>
          </cell>
          <cell r="B418">
            <v>39.5501</v>
          </cell>
          <cell r="C418">
            <v>-105.7821</v>
          </cell>
          <cell r="D418">
            <v>2016</v>
          </cell>
          <cell r="E418" t="str">
            <v>USA</v>
          </cell>
          <cell r="F418" t="str">
            <v>Wildtype</v>
          </cell>
          <cell r="G418">
            <v>0</v>
          </cell>
          <cell r="H418" t="str">
            <v>Clinical</v>
          </cell>
          <cell r="I418" t="str">
            <v>Wildtype</v>
          </cell>
          <cell r="K418">
            <v>5</v>
          </cell>
        </row>
        <row r="419">
          <cell r="A419" t="str">
            <v>C479</v>
          </cell>
          <cell r="B419">
            <v>37.839300000000001</v>
          </cell>
          <cell r="C419">
            <v>-84.27</v>
          </cell>
          <cell r="D419">
            <v>2016</v>
          </cell>
          <cell r="E419" t="str">
            <v>USA</v>
          </cell>
          <cell r="F419" t="str">
            <v>Wildtype</v>
          </cell>
          <cell r="G419">
            <v>0</v>
          </cell>
          <cell r="H419" t="str">
            <v>Clinical</v>
          </cell>
          <cell r="I419" t="str">
            <v>Wildtype</v>
          </cell>
          <cell r="K419">
            <v>5</v>
          </cell>
        </row>
        <row r="420">
          <cell r="A420" t="str">
            <v>C48</v>
          </cell>
          <cell r="B420">
            <v>53.349805000000003</v>
          </cell>
          <cell r="C420">
            <v>-6.2603099999999996</v>
          </cell>
          <cell r="D420">
            <v>2011</v>
          </cell>
          <cell r="E420" t="str">
            <v>Republic of Ireland</v>
          </cell>
          <cell r="F420" t="str">
            <v>Wildtype</v>
          </cell>
          <cell r="G420" t="str">
            <v>MAT1-2</v>
          </cell>
          <cell r="H420" t="str">
            <v>Clinical</v>
          </cell>
          <cell r="I420" t="str">
            <v>Wildtype</v>
          </cell>
          <cell r="J420">
            <v>0.03</v>
          </cell>
          <cell r="K420">
            <v>4</v>
          </cell>
        </row>
        <row r="421">
          <cell r="A421" t="str">
            <v>C480</v>
          </cell>
          <cell r="B421">
            <v>34.048900000000003</v>
          </cell>
          <cell r="C421">
            <v>-111.0937</v>
          </cell>
          <cell r="D421">
            <v>2016</v>
          </cell>
          <cell r="E421" t="str">
            <v>USA</v>
          </cell>
          <cell r="F421" t="str">
            <v>Wildtype</v>
          </cell>
          <cell r="G421">
            <v>0</v>
          </cell>
          <cell r="H421" t="str">
            <v>Clinical</v>
          </cell>
          <cell r="I421" t="str">
            <v>Wildtype</v>
          </cell>
          <cell r="K421">
            <v>5</v>
          </cell>
        </row>
        <row r="422">
          <cell r="A422" t="str">
            <v>C481</v>
          </cell>
          <cell r="B422">
            <v>39.5501</v>
          </cell>
          <cell r="C422">
            <v>-105.7821</v>
          </cell>
          <cell r="D422">
            <v>2016</v>
          </cell>
          <cell r="E422" t="str">
            <v>USA</v>
          </cell>
          <cell r="F422" t="str">
            <v>Wildtype</v>
          </cell>
          <cell r="G422">
            <v>0</v>
          </cell>
          <cell r="H422" t="str">
            <v>Clinical</v>
          </cell>
          <cell r="I422" t="str">
            <v>Wildtype</v>
          </cell>
          <cell r="K422">
            <v>4</v>
          </cell>
        </row>
        <row r="423">
          <cell r="A423" t="str">
            <v>C482</v>
          </cell>
          <cell r="B423">
            <v>40.712800000000001</v>
          </cell>
          <cell r="C423">
            <v>-74.006</v>
          </cell>
          <cell r="D423">
            <v>2015</v>
          </cell>
          <cell r="E423" t="str">
            <v>USA</v>
          </cell>
          <cell r="F423" t="str">
            <v>Wildtype</v>
          </cell>
          <cell r="G423">
            <v>0</v>
          </cell>
          <cell r="H423" t="str">
            <v>Clinical</v>
          </cell>
          <cell r="I423" t="str">
            <v>Wildtype</v>
          </cell>
          <cell r="K423">
            <v>5</v>
          </cell>
        </row>
        <row r="424">
          <cell r="A424" t="str">
            <v>C483</v>
          </cell>
          <cell r="B424">
            <v>41.878</v>
          </cell>
          <cell r="C424">
            <v>-93.097700000000003</v>
          </cell>
          <cell r="D424">
            <v>2016</v>
          </cell>
          <cell r="E424" t="str">
            <v>USA</v>
          </cell>
          <cell r="F424" t="str">
            <v>Wildtype</v>
          </cell>
          <cell r="G424">
            <v>0</v>
          </cell>
          <cell r="H424" t="str">
            <v>Clinical</v>
          </cell>
          <cell r="I424" t="str">
            <v>Wildtype</v>
          </cell>
          <cell r="K424">
            <v>4</v>
          </cell>
        </row>
        <row r="425">
          <cell r="A425" t="str">
            <v>C484</v>
          </cell>
          <cell r="B425">
            <v>40.267200000000003</v>
          </cell>
          <cell r="C425">
            <v>-86.134900000000002</v>
          </cell>
          <cell r="D425">
            <v>2016</v>
          </cell>
          <cell r="E425" t="str">
            <v>USA</v>
          </cell>
          <cell r="F425" t="str">
            <v>Wildtype</v>
          </cell>
          <cell r="G425">
            <v>0</v>
          </cell>
          <cell r="H425" t="str">
            <v>Clinical</v>
          </cell>
          <cell r="I425" t="str">
            <v>Wildtype</v>
          </cell>
          <cell r="K425">
            <v>4</v>
          </cell>
        </row>
        <row r="426">
          <cell r="A426" t="str">
            <v>C485</v>
          </cell>
          <cell r="B426">
            <v>40.267200000000003</v>
          </cell>
          <cell r="C426">
            <v>-86.134900000000002</v>
          </cell>
          <cell r="D426">
            <v>2016</v>
          </cell>
          <cell r="E426" t="str">
            <v>USA</v>
          </cell>
          <cell r="F426" t="str">
            <v>Wildtype</v>
          </cell>
          <cell r="G426">
            <v>0</v>
          </cell>
          <cell r="H426" t="str">
            <v>Clinical</v>
          </cell>
          <cell r="I426" t="str">
            <v>Wildtype</v>
          </cell>
          <cell r="K426">
            <v>4</v>
          </cell>
        </row>
        <row r="427">
          <cell r="A427" t="str">
            <v>C486</v>
          </cell>
          <cell r="B427">
            <v>37.839300000000001</v>
          </cell>
          <cell r="C427">
            <v>-84.27</v>
          </cell>
          <cell r="D427">
            <v>2015</v>
          </cell>
          <cell r="E427" t="str">
            <v>USA</v>
          </cell>
          <cell r="F427" t="str">
            <v>Wildtype</v>
          </cell>
          <cell r="G427">
            <v>0</v>
          </cell>
          <cell r="H427" t="str">
            <v>Clinical</v>
          </cell>
          <cell r="I427" t="str">
            <v>Wildtype</v>
          </cell>
          <cell r="K427">
            <v>4</v>
          </cell>
        </row>
        <row r="428">
          <cell r="A428" t="str">
            <v>C487</v>
          </cell>
          <cell r="B428">
            <v>40.417299999999997</v>
          </cell>
          <cell r="C428">
            <v>-82.9071</v>
          </cell>
          <cell r="D428">
            <v>2015</v>
          </cell>
          <cell r="E428" t="str">
            <v>USA</v>
          </cell>
          <cell r="F428" t="str">
            <v>Wildtype</v>
          </cell>
          <cell r="G428">
            <v>0</v>
          </cell>
          <cell r="H428" t="str">
            <v>Clinical</v>
          </cell>
          <cell r="I428" t="str">
            <v>Wildtype</v>
          </cell>
          <cell r="K428">
            <v>4</v>
          </cell>
        </row>
        <row r="429">
          <cell r="A429" t="str">
            <v>C488</v>
          </cell>
          <cell r="B429">
            <v>27.6648</v>
          </cell>
          <cell r="C429">
            <v>-81.515799999999999</v>
          </cell>
          <cell r="D429">
            <v>2016</v>
          </cell>
          <cell r="E429" t="str">
            <v>USA</v>
          </cell>
          <cell r="F429" t="str">
            <v>Wildtype</v>
          </cell>
          <cell r="G429">
            <v>0</v>
          </cell>
          <cell r="H429" t="str">
            <v>Clinical</v>
          </cell>
          <cell r="I429" t="str">
            <v>Wildtype</v>
          </cell>
          <cell r="K429">
            <v>5</v>
          </cell>
        </row>
        <row r="430">
          <cell r="A430" t="str">
            <v>C489</v>
          </cell>
          <cell r="B430">
            <v>40.058300000000003</v>
          </cell>
          <cell r="C430">
            <v>-74.405699999999996</v>
          </cell>
          <cell r="D430">
            <v>2016</v>
          </cell>
          <cell r="E430" t="str">
            <v>USA</v>
          </cell>
          <cell r="F430" t="str">
            <v>Wildtype</v>
          </cell>
          <cell r="G430">
            <v>0</v>
          </cell>
          <cell r="H430" t="str">
            <v>Clinical</v>
          </cell>
          <cell r="I430" t="str">
            <v>Wildtype</v>
          </cell>
          <cell r="K430">
            <v>5</v>
          </cell>
        </row>
        <row r="431">
          <cell r="A431" t="str">
            <v>C49</v>
          </cell>
          <cell r="B431">
            <v>53.349805000000003</v>
          </cell>
          <cell r="C431">
            <v>-6.2603099999999996</v>
          </cell>
          <cell r="D431">
            <v>2011</v>
          </cell>
          <cell r="E431" t="str">
            <v>Republic of Ireland</v>
          </cell>
          <cell r="F431" t="str">
            <v>Wildtype</v>
          </cell>
          <cell r="G431" t="str">
            <v>MAT1-2</v>
          </cell>
          <cell r="H431" t="str">
            <v>Clinical</v>
          </cell>
          <cell r="I431" t="str">
            <v>Wildtype</v>
          </cell>
          <cell r="J431">
            <v>0.03</v>
          </cell>
          <cell r="K431">
            <v>4</v>
          </cell>
        </row>
        <row r="432">
          <cell r="A432" t="str">
            <v>C490</v>
          </cell>
          <cell r="B432">
            <v>35.517499999999998</v>
          </cell>
          <cell r="C432">
            <v>-86.580399999999997</v>
          </cell>
          <cell r="D432">
            <v>2015</v>
          </cell>
          <cell r="E432" t="str">
            <v>USA</v>
          </cell>
          <cell r="F432" t="str">
            <v>Wildtype</v>
          </cell>
          <cell r="G432">
            <v>0</v>
          </cell>
          <cell r="H432" t="str">
            <v>Clinical</v>
          </cell>
          <cell r="I432" t="str">
            <v>Wildtype</v>
          </cell>
          <cell r="K432">
            <v>4</v>
          </cell>
        </row>
        <row r="433">
          <cell r="A433" t="str">
            <v>C491</v>
          </cell>
          <cell r="B433">
            <v>44.314799999999998</v>
          </cell>
          <cell r="C433">
            <v>-85.602400000000003</v>
          </cell>
          <cell r="D433">
            <v>2016</v>
          </cell>
          <cell r="E433" t="str">
            <v>USA</v>
          </cell>
          <cell r="F433" t="str">
            <v>Wildtype</v>
          </cell>
          <cell r="G433">
            <v>0</v>
          </cell>
          <cell r="H433" t="str">
            <v>Clinical</v>
          </cell>
          <cell r="I433" t="str">
            <v>Wildtype</v>
          </cell>
          <cell r="K433">
            <v>5</v>
          </cell>
        </row>
        <row r="434">
          <cell r="A434" t="str">
            <v>C492</v>
          </cell>
          <cell r="B434">
            <v>40.633099999999999</v>
          </cell>
          <cell r="C434">
            <v>-89.398499999999999</v>
          </cell>
          <cell r="D434">
            <v>2016</v>
          </cell>
          <cell r="E434" t="str">
            <v>USA</v>
          </cell>
          <cell r="F434" t="str">
            <v>Wildtype</v>
          </cell>
          <cell r="G434">
            <v>0</v>
          </cell>
          <cell r="H434" t="str">
            <v>Clinical</v>
          </cell>
          <cell r="I434" t="str">
            <v>Wildtype</v>
          </cell>
          <cell r="K434">
            <v>5</v>
          </cell>
        </row>
        <row r="435">
          <cell r="A435" t="str">
            <v>C493</v>
          </cell>
          <cell r="B435">
            <v>40.712800000000001</v>
          </cell>
          <cell r="C435">
            <v>-74.006</v>
          </cell>
          <cell r="D435">
            <v>2015</v>
          </cell>
          <cell r="E435" t="str">
            <v>USA</v>
          </cell>
          <cell r="F435" t="str">
            <v>Wildtype</v>
          </cell>
          <cell r="G435">
            <v>0</v>
          </cell>
          <cell r="H435" t="str">
            <v>Clinical</v>
          </cell>
          <cell r="I435" t="str">
            <v>Wildtype</v>
          </cell>
          <cell r="K435">
            <v>5</v>
          </cell>
        </row>
        <row r="436">
          <cell r="A436" t="str">
            <v>C494</v>
          </cell>
          <cell r="B436">
            <v>40.633099999999999</v>
          </cell>
          <cell r="C436">
            <v>-89.398499999999999</v>
          </cell>
          <cell r="D436">
            <v>2016</v>
          </cell>
          <cell r="E436" t="str">
            <v>USA</v>
          </cell>
          <cell r="F436" t="str">
            <v>Wildtype</v>
          </cell>
          <cell r="G436">
            <v>0</v>
          </cell>
          <cell r="H436" t="str">
            <v>Clinical</v>
          </cell>
          <cell r="I436" t="str">
            <v>Wildtype</v>
          </cell>
          <cell r="K436">
            <v>5</v>
          </cell>
        </row>
        <row r="437">
          <cell r="A437" t="str">
            <v>C495</v>
          </cell>
          <cell r="B437">
            <v>40.633099999999999</v>
          </cell>
          <cell r="C437">
            <v>-89.398499999999999</v>
          </cell>
          <cell r="D437">
            <v>2016</v>
          </cell>
          <cell r="E437" t="str">
            <v>USA</v>
          </cell>
          <cell r="F437" t="str">
            <v>Wildtype</v>
          </cell>
          <cell r="G437">
            <v>0</v>
          </cell>
          <cell r="H437" t="str">
            <v>Clinical</v>
          </cell>
          <cell r="I437" t="str">
            <v>Wildtype</v>
          </cell>
          <cell r="K437">
            <v>5</v>
          </cell>
        </row>
        <row r="438">
          <cell r="A438" t="str">
            <v>C496</v>
          </cell>
          <cell r="B438">
            <v>40.633099999999999</v>
          </cell>
          <cell r="C438">
            <v>-89.398499999999999</v>
          </cell>
          <cell r="D438">
            <v>2015</v>
          </cell>
          <cell r="E438" t="str">
            <v>USA</v>
          </cell>
          <cell r="F438" t="str">
            <v>Wildtype</v>
          </cell>
          <cell r="G438">
            <v>0</v>
          </cell>
          <cell r="H438" t="str">
            <v>Clinical</v>
          </cell>
          <cell r="I438" t="str">
            <v>Wildtype</v>
          </cell>
          <cell r="K438">
            <v>5</v>
          </cell>
        </row>
        <row r="439">
          <cell r="A439" t="str">
            <v>C497</v>
          </cell>
          <cell r="B439">
            <v>40.633099999999999</v>
          </cell>
          <cell r="C439">
            <v>-89.398499999999999</v>
          </cell>
          <cell r="D439">
            <v>2015</v>
          </cell>
          <cell r="E439" t="str">
            <v>USA</v>
          </cell>
          <cell r="F439" t="str">
            <v>Wildtype</v>
          </cell>
          <cell r="G439">
            <v>0</v>
          </cell>
          <cell r="H439" t="str">
            <v>Clinical</v>
          </cell>
          <cell r="I439" t="str">
            <v>Wildtype</v>
          </cell>
          <cell r="K439">
            <v>5</v>
          </cell>
        </row>
        <row r="440">
          <cell r="A440" t="str">
            <v>C498</v>
          </cell>
          <cell r="B440">
            <v>36.778300000000002</v>
          </cell>
          <cell r="C440">
            <v>-119.4179</v>
          </cell>
          <cell r="D440">
            <v>2015</v>
          </cell>
          <cell r="E440" t="str">
            <v>USA</v>
          </cell>
          <cell r="F440" t="str">
            <v>Wildtype</v>
          </cell>
          <cell r="G440">
            <v>0</v>
          </cell>
          <cell r="H440" t="str">
            <v>Clinical</v>
          </cell>
          <cell r="I440" t="str">
            <v>Wildtype</v>
          </cell>
          <cell r="K440">
            <v>5</v>
          </cell>
        </row>
        <row r="441">
          <cell r="A441" t="str">
            <v>C499</v>
          </cell>
          <cell r="B441">
            <v>36.778300000000002</v>
          </cell>
          <cell r="C441">
            <v>-119.4179</v>
          </cell>
          <cell r="D441">
            <v>2015</v>
          </cell>
          <cell r="E441" t="str">
            <v>USA</v>
          </cell>
          <cell r="F441" t="str">
            <v>Wildtype</v>
          </cell>
          <cell r="G441">
            <v>0</v>
          </cell>
          <cell r="H441" t="str">
            <v>Clinical</v>
          </cell>
          <cell r="I441" t="str">
            <v>Wildtype</v>
          </cell>
          <cell r="K441">
            <v>4</v>
          </cell>
        </row>
        <row r="442">
          <cell r="A442" t="str">
            <v>C5</v>
          </cell>
          <cell r="B442">
            <v>53.800755000000002</v>
          </cell>
          <cell r="C442">
            <v>-1.549077</v>
          </cell>
          <cell r="D442">
            <v>2012</v>
          </cell>
          <cell r="E442" t="str">
            <v>UK</v>
          </cell>
          <cell r="F442" t="str">
            <v>Wildtype</v>
          </cell>
          <cell r="G442" t="str">
            <v>MAT1-2</v>
          </cell>
          <cell r="H442" t="str">
            <v>Clinical</v>
          </cell>
          <cell r="I442" t="str">
            <v>Wildtype</v>
          </cell>
          <cell r="J442">
            <v>0.5</v>
          </cell>
          <cell r="K442">
            <v>4</v>
          </cell>
        </row>
        <row r="443">
          <cell r="A443" t="str">
            <v>C50</v>
          </cell>
          <cell r="B443">
            <v>53.349805000000003</v>
          </cell>
          <cell r="C443">
            <v>-6.2603099999999996</v>
          </cell>
          <cell r="D443">
            <v>2011</v>
          </cell>
          <cell r="E443" t="str">
            <v>Republic of Ireland</v>
          </cell>
          <cell r="F443" t="str">
            <v>Wildtype</v>
          </cell>
          <cell r="G443" t="str">
            <v>MAT1-2</v>
          </cell>
          <cell r="H443" t="str">
            <v>Clinical</v>
          </cell>
          <cell r="I443" t="str">
            <v>Wildtype</v>
          </cell>
          <cell r="J443">
            <v>0.03</v>
          </cell>
          <cell r="K443">
            <v>1</v>
          </cell>
        </row>
        <row r="444">
          <cell r="A444" t="str">
            <v>C500</v>
          </cell>
          <cell r="B444">
            <v>34.048900000000003</v>
          </cell>
          <cell r="C444">
            <v>-111.0937</v>
          </cell>
          <cell r="D444">
            <v>2015</v>
          </cell>
          <cell r="E444" t="str">
            <v>USA</v>
          </cell>
          <cell r="F444" t="str">
            <v>Wildtype</v>
          </cell>
          <cell r="G444">
            <v>0</v>
          </cell>
          <cell r="H444" t="str">
            <v>Clinical</v>
          </cell>
          <cell r="I444" t="str">
            <v>Wildtype</v>
          </cell>
          <cell r="K444">
            <v>4</v>
          </cell>
        </row>
        <row r="445">
          <cell r="A445" t="str">
            <v>C501</v>
          </cell>
          <cell r="B445">
            <v>42.407200000000003</v>
          </cell>
          <cell r="C445">
            <v>-71.382400000000004</v>
          </cell>
          <cell r="D445">
            <v>2015</v>
          </cell>
          <cell r="E445" t="str">
            <v>USA</v>
          </cell>
          <cell r="F445" t="str">
            <v>Wildtype</v>
          </cell>
          <cell r="G445">
            <v>0</v>
          </cell>
          <cell r="H445" t="str">
            <v>Clinical</v>
          </cell>
          <cell r="I445" t="str">
            <v>Wildtype</v>
          </cell>
          <cell r="K445">
            <v>4</v>
          </cell>
        </row>
        <row r="446">
          <cell r="A446" t="str">
            <v>C502</v>
          </cell>
          <cell r="B446">
            <v>42.407200000000003</v>
          </cell>
          <cell r="C446">
            <v>-71.382400000000004</v>
          </cell>
          <cell r="D446">
            <v>2015</v>
          </cell>
          <cell r="E446" t="str">
            <v>USA</v>
          </cell>
          <cell r="F446" t="str">
            <v>Wildtype</v>
          </cell>
          <cell r="G446">
            <v>0</v>
          </cell>
          <cell r="H446" t="str">
            <v>Clinical</v>
          </cell>
          <cell r="I446" t="str">
            <v>Wildtype</v>
          </cell>
          <cell r="K446">
            <v>4</v>
          </cell>
        </row>
        <row r="447">
          <cell r="A447" t="str">
            <v>C503</v>
          </cell>
          <cell r="B447">
            <v>42.407200000000003</v>
          </cell>
          <cell r="C447">
            <v>-71.382400000000004</v>
          </cell>
          <cell r="D447">
            <v>2015</v>
          </cell>
          <cell r="E447" t="str">
            <v>USA</v>
          </cell>
          <cell r="F447" t="str">
            <v>Wildtype</v>
          </cell>
          <cell r="G447">
            <v>0</v>
          </cell>
          <cell r="H447" t="str">
            <v>Clinical</v>
          </cell>
          <cell r="I447" t="str">
            <v>Wildtype</v>
          </cell>
          <cell r="K447">
            <v>5</v>
          </cell>
        </row>
        <row r="448">
          <cell r="A448" t="str">
            <v>C504</v>
          </cell>
          <cell r="B448">
            <v>40.712800000000001</v>
          </cell>
          <cell r="C448">
            <v>-74.006</v>
          </cell>
          <cell r="D448">
            <v>2015</v>
          </cell>
          <cell r="E448" t="str">
            <v>USA</v>
          </cell>
          <cell r="F448" t="str">
            <v>Wildtype</v>
          </cell>
          <cell r="G448">
            <v>0</v>
          </cell>
          <cell r="H448" t="str">
            <v>Clinical</v>
          </cell>
          <cell r="I448" t="str">
            <v>Wildtype</v>
          </cell>
          <cell r="K448">
            <v>4</v>
          </cell>
        </row>
        <row r="449">
          <cell r="A449" t="str">
            <v>C505</v>
          </cell>
          <cell r="B449">
            <v>42.407200000000003</v>
          </cell>
          <cell r="C449">
            <v>-71.382400000000004</v>
          </cell>
          <cell r="D449">
            <v>2015</v>
          </cell>
          <cell r="E449" t="str">
            <v>USA</v>
          </cell>
          <cell r="F449" t="str">
            <v>Wildtype</v>
          </cell>
          <cell r="G449">
            <v>0</v>
          </cell>
          <cell r="H449" t="str">
            <v>Clinical</v>
          </cell>
          <cell r="I449" t="str">
            <v>Wildtype</v>
          </cell>
          <cell r="K449">
            <v>1</v>
          </cell>
        </row>
        <row r="450">
          <cell r="A450" t="str">
            <v>C506</v>
          </cell>
          <cell r="B450">
            <v>42.407200000000003</v>
          </cell>
          <cell r="C450">
            <v>-71.382400000000004</v>
          </cell>
          <cell r="D450">
            <v>2015</v>
          </cell>
          <cell r="E450" t="str">
            <v>USA</v>
          </cell>
          <cell r="F450" t="str">
            <v>Wildtype</v>
          </cell>
          <cell r="G450">
            <v>0</v>
          </cell>
          <cell r="H450" t="str">
            <v>Clinical</v>
          </cell>
          <cell r="I450" t="str">
            <v>Wildtype</v>
          </cell>
          <cell r="K450">
            <v>5</v>
          </cell>
        </row>
        <row r="451">
          <cell r="A451" t="str">
            <v>C507</v>
          </cell>
          <cell r="B451">
            <v>43.076000000000001</v>
          </cell>
          <cell r="C451">
            <v>-107.2903</v>
          </cell>
          <cell r="D451">
            <v>2015</v>
          </cell>
          <cell r="E451" t="str">
            <v>USA</v>
          </cell>
          <cell r="F451" t="str">
            <v>Wildtype</v>
          </cell>
          <cell r="G451">
            <v>0</v>
          </cell>
          <cell r="H451" t="str">
            <v>Clinical</v>
          </cell>
          <cell r="I451" t="str">
            <v>Wildtype</v>
          </cell>
          <cell r="K451">
            <v>5</v>
          </cell>
        </row>
        <row r="452">
          <cell r="A452" t="str">
            <v>C508</v>
          </cell>
          <cell r="B452">
            <v>34.048900000000003</v>
          </cell>
          <cell r="C452">
            <v>-111.0937</v>
          </cell>
          <cell r="D452">
            <v>2015</v>
          </cell>
          <cell r="E452" t="str">
            <v>USA</v>
          </cell>
          <cell r="F452" t="str">
            <v>Wildtype</v>
          </cell>
          <cell r="G452">
            <v>0</v>
          </cell>
          <cell r="H452" t="str">
            <v>Clinical</v>
          </cell>
          <cell r="I452" t="str">
            <v>Wildtype</v>
          </cell>
          <cell r="K452">
            <v>5</v>
          </cell>
        </row>
        <row r="453">
          <cell r="A453" t="str">
            <v>C509</v>
          </cell>
          <cell r="B453">
            <v>46.729599999999998</v>
          </cell>
          <cell r="C453">
            <v>-94.685900000000004</v>
          </cell>
          <cell r="D453">
            <v>2016</v>
          </cell>
          <cell r="E453" t="str">
            <v>USA</v>
          </cell>
          <cell r="F453" t="str">
            <v>Wildtype</v>
          </cell>
          <cell r="G453">
            <v>0</v>
          </cell>
          <cell r="H453" t="str">
            <v>Clinical</v>
          </cell>
          <cell r="I453" t="str">
            <v>Wildtype</v>
          </cell>
          <cell r="K453">
            <v>4</v>
          </cell>
        </row>
        <row r="454">
          <cell r="A454" t="str">
            <v>C51</v>
          </cell>
          <cell r="B454">
            <v>53.349805000000003</v>
          </cell>
          <cell r="C454">
            <v>-6.2603099999999996</v>
          </cell>
          <cell r="D454">
            <v>2012</v>
          </cell>
          <cell r="E454" t="str">
            <v>Republic of Ireland</v>
          </cell>
          <cell r="F454" t="str">
            <v>Wildtype</v>
          </cell>
          <cell r="G454" t="str">
            <v>MAT1-1</v>
          </cell>
          <cell r="H454" t="str">
            <v>Clinical</v>
          </cell>
          <cell r="I454" t="str">
            <v>Wildtype</v>
          </cell>
          <cell r="J454">
            <v>0.12</v>
          </cell>
          <cell r="K454">
            <v>4</v>
          </cell>
        </row>
        <row r="455">
          <cell r="A455" t="str">
            <v>C510</v>
          </cell>
          <cell r="B455">
            <v>46.729599999999998</v>
          </cell>
          <cell r="C455">
            <v>-94.685900000000004</v>
          </cell>
          <cell r="D455">
            <v>2016</v>
          </cell>
          <cell r="E455" t="str">
            <v>USA</v>
          </cell>
          <cell r="F455" t="str">
            <v>Wildtype</v>
          </cell>
          <cell r="G455">
            <v>0</v>
          </cell>
          <cell r="H455" t="str">
            <v>Clinical</v>
          </cell>
          <cell r="I455" t="str">
            <v>Wildtype</v>
          </cell>
          <cell r="K455">
            <v>4</v>
          </cell>
        </row>
        <row r="456">
          <cell r="A456" t="str">
            <v>C511</v>
          </cell>
          <cell r="B456">
            <v>37.839300000000001</v>
          </cell>
          <cell r="C456">
            <v>-84.27</v>
          </cell>
          <cell r="D456">
            <v>2015</v>
          </cell>
          <cell r="E456" t="str">
            <v>USA</v>
          </cell>
          <cell r="F456" t="str">
            <v>Wildtype</v>
          </cell>
          <cell r="G456">
            <v>0</v>
          </cell>
          <cell r="H456" t="str">
            <v>Clinical</v>
          </cell>
          <cell r="I456" t="str">
            <v>Wildtype</v>
          </cell>
          <cell r="K456">
            <v>4</v>
          </cell>
        </row>
        <row r="457">
          <cell r="A457" t="str">
            <v>C512</v>
          </cell>
          <cell r="B457">
            <v>39.0458</v>
          </cell>
          <cell r="C457">
            <v>-76.641300000000001</v>
          </cell>
          <cell r="D457">
            <v>2015</v>
          </cell>
          <cell r="E457" t="str">
            <v>USA</v>
          </cell>
          <cell r="F457" t="str">
            <v>Wildtype</v>
          </cell>
          <cell r="G457">
            <v>0</v>
          </cell>
          <cell r="H457" t="str">
            <v>Clinical</v>
          </cell>
          <cell r="I457" t="str">
            <v>Wildtype</v>
          </cell>
          <cell r="K457">
            <v>4</v>
          </cell>
        </row>
        <row r="458">
          <cell r="A458" t="str">
            <v>C513</v>
          </cell>
          <cell r="B458">
            <v>39.0458</v>
          </cell>
          <cell r="C458">
            <v>-76.641300000000001</v>
          </cell>
          <cell r="D458">
            <v>2014</v>
          </cell>
          <cell r="E458" t="str">
            <v>USA</v>
          </cell>
          <cell r="F458" t="str">
            <v>Wildtype</v>
          </cell>
          <cell r="G458">
            <v>0</v>
          </cell>
          <cell r="H458" t="str">
            <v>Clinical</v>
          </cell>
          <cell r="I458" t="str">
            <v>Wildtype</v>
          </cell>
          <cell r="K458">
            <v>1</v>
          </cell>
        </row>
        <row r="459">
          <cell r="A459" t="str">
            <v>C514</v>
          </cell>
          <cell r="B459">
            <v>39.0458</v>
          </cell>
          <cell r="C459">
            <v>-76.641300000000001</v>
          </cell>
          <cell r="D459">
            <v>2014</v>
          </cell>
          <cell r="E459" t="str">
            <v>USA</v>
          </cell>
          <cell r="F459" t="str">
            <v>Wildtype</v>
          </cell>
          <cell r="G459">
            <v>0</v>
          </cell>
          <cell r="H459" t="str">
            <v>Clinical</v>
          </cell>
          <cell r="I459" t="str">
            <v>Wildtype</v>
          </cell>
          <cell r="K459">
            <v>5</v>
          </cell>
        </row>
        <row r="460">
          <cell r="A460" t="str">
            <v>C515</v>
          </cell>
          <cell r="B460">
            <v>40.712800000000001</v>
          </cell>
          <cell r="C460">
            <v>-74.006</v>
          </cell>
          <cell r="D460">
            <v>2015</v>
          </cell>
          <cell r="E460" t="str">
            <v>USA</v>
          </cell>
          <cell r="F460" t="str">
            <v>Wildtype</v>
          </cell>
          <cell r="G460">
            <v>0</v>
          </cell>
          <cell r="H460" t="str">
            <v>Clinical</v>
          </cell>
          <cell r="I460" t="str">
            <v>Wildtype</v>
          </cell>
          <cell r="K460">
            <v>4</v>
          </cell>
        </row>
        <row r="461">
          <cell r="A461" t="str">
            <v>C516</v>
          </cell>
          <cell r="B461">
            <v>38.910800000000002</v>
          </cell>
          <cell r="C461">
            <v>-75.527699999999996</v>
          </cell>
          <cell r="D461">
            <v>2015</v>
          </cell>
          <cell r="E461" t="str">
            <v>USA</v>
          </cell>
          <cell r="F461" t="str">
            <v>Wildtype</v>
          </cell>
          <cell r="G461">
            <v>0</v>
          </cell>
          <cell r="H461" t="str">
            <v>Clinical</v>
          </cell>
          <cell r="I461" t="str">
            <v>Wildtype</v>
          </cell>
          <cell r="K461">
            <v>1</v>
          </cell>
        </row>
        <row r="462">
          <cell r="A462" t="str">
            <v>C517</v>
          </cell>
          <cell r="B462">
            <v>38.910800000000002</v>
          </cell>
          <cell r="C462">
            <v>-75.527699999999996</v>
          </cell>
          <cell r="D462">
            <v>2015</v>
          </cell>
          <cell r="E462" t="str">
            <v>USA</v>
          </cell>
          <cell r="F462" t="str">
            <v>Wildtype</v>
          </cell>
          <cell r="G462">
            <v>0</v>
          </cell>
          <cell r="H462" t="str">
            <v>Clinical</v>
          </cell>
          <cell r="I462" t="str">
            <v>Wildtype</v>
          </cell>
          <cell r="K462">
            <v>5</v>
          </cell>
        </row>
        <row r="463">
          <cell r="A463" t="str">
            <v>C518</v>
          </cell>
          <cell r="B463">
            <v>47.551499999999997</v>
          </cell>
          <cell r="C463">
            <v>-101.002</v>
          </cell>
          <cell r="D463">
            <v>2015</v>
          </cell>
          <cell r="E463" t="str">
            <v>USA</v>
          </cell>
          <cell r="F463" t="str">
            <v>Wildtype</v>
          </cell>
          <cell r="G463">
            <v>0</v>
          </cell>
          <cell r="H463" t="str">
            <v>Clinical</v>
          </cell>
          <cell r="I463" t="str">
            <v>Wildtype</v>
          </cell>
          <cell r="K463">
            <v>5</v>
          </cell>
        </row>
        <row r="464">
          <cell r="A464" t="str">
            <v>C519</v>
          </cell>
          <cell r="B464">
            <v>41.203299999999999</v>
          </cell>
          <cell r="C464">
            <v>-77.194500000000005</v>
          </cell>
          <cell r="D464">
            <v>2015</v>
          </cell>
          <cell r="E464" t="str">
            <v>USA</v>
          </cell>
          <cell r="F464" t="str">
            <v>Wildtype</v>
          </cell>
          <cell r="G464">
            <v>0</v>
          </cell>
          <cell r="H464" t="str">
            <v>Clinical</v>
          </cell>
          <cell r="I464" t="str">
            <v>Wildtype</v>
          </cell>
          <cell r="K464">
            <v>4</v>
          </cell>
        </row>
        <row r="465">
          <cell r="A465" t="str">
            <v>C52</v>
          </cell>
          <cell r="B465">
            <v>53.349805000000003</v>
          </cell>
          <cell r="C465">
            <v>-6.2603099999999996</v>
          </cell>
          <cell r="D465">
            <v>2012</v>
          </cell>
          <cell r="E465" t="str">
            <v>Republic of Ireland</v>
          </cell>
          <cell r="F465" t="str">
            <v>Wildtype</v>
          </cell>
          <cell r="G465" t="str">
            <v>MAT1-1</v>
          </cell>
          <cell r="H465" t="str">
            <v>Clinical</v>
          </cell>
          <cell r="I465" t="str">
            <v>Wildtype</v>
          </cell>
          <cell r="J465">
            <v>0.25</v>
          </cell>
          <cell r="K465">
            <v>4</v>
          </cell>
        </row>
        <row r="466">
          <cell r="A466" t="str">
            <v>C520</v>
          </cell>
          <cell r="B466">
            <v>34.048900000000003</v>
          </cell>
          <cell r="C466">
            <v>-111.0937</v>
          </cell>
          <cell r="D466">
            <v>2015</v>
          </cell>
          <cell r="E466" t="str">
            <v>USA</v>
          </cell>
          <cell r="F466" t="str">
            <v>Wildtype</v>
          </cell>
          <cell r="G466">
            <v>0</v>
          </cell>
          <cell r="H466" t="str">
            <v>Clinical</v>
          </cell>
          <cell r="I466" t="str">
            <v>Wildtype</v>
          </cell>
          <cell r="K466">
            <v>5</v>
          </cell>
        </row>
        <row r="467">
          <cell r="A467" t="str">
            <v>C521</v>
          </cell>
          <cell r="B467">
            <v>41.203299999999999</v>
          </cell>
          <cell r="C467">
            <v>-77.194500000000005</v>
          </cell>
          <cell r="D467">
            <v>2015</v>
          </cell>
          <cell r="E467" t="str">
            <v>USA</v>
          </cell>
          <cell r="F467" t="str">
            <v>Wildtype</v>
          </cell>
          <cell r="G467">
            <v>0</v>
          </cell>
          <cell r="H467" t="str">
            <v>Clinical</v>
          </cell>
          <cell r="I467" t="str">
            <v>Wildtype</v>
          </cell>
          <cell r="K467">
            <v>5</v>
          </cell>
        </row>
        <row r="468">
          <cell r="A468" t="str">
            <v>C522</v>
          </cell>
          <cell r="B468">
            <v>41.203299999999999</v>
          </cell>
          <cell r="C468">
            <v>-77.194500000000005</v>
          </cell>
          <cell r="D468">
            <v>2015</v>
          </cell>
          <cell r="E468" t="str">
            <v>USA</v>
          </cell>
          <cell r="F468" t="str">
            <v>Wildtype</v>
          </cell>
          <cell r="G468">
            <v>0</v>
          </cell>
          <cell r="H468" t="str">
            <v>Clinical</v>
          </cell>
          <cell r="I468" t="str">
            <v>Wildtype</v>
          </cell>
          <cell r="K468">
            <v>4</v>
          </cell>
        </row>
        <row r="469">
          <cell r="A469" t="str">
            <v>C523</v>
          </cell>
          <cell r="B469">
            <v>39.0458</v>
          </cell>
          <cell r="C469">
            <v>-76.641300000000001</v>
          </cell>
          <cell r="D469">
            <v>2015</v>
          </cell>
          <cell r="E469" t="str">
            <v>USA</v>
          </cell>
          <cell r="F469" t="str">
            <v>Wildtype</v>
          </cell>
          <cell r="G469">
            <v>0</v>
          </cell>
          <cell r="H469" t="str">
            <v>Clinical</v>
          </cell>
          <cell r="I469" t="str">
            <v>Wildtype</v>
          </cell>
          <cell r="K469">
            <v>5</v>
          </cell>
        </row>
        <row r="470">
          <cell r="A470" t="str">
            <v>C524</v>
          </cell>
          <cell r="B470">
            <v>39.0458</v>
          </cell>
          <cell r="C470">
            <v>-76.641300000000001</v>
          </cell>
          <cell r="D470">
            <v>2015</v>
          </cell>
          <cell r="E470" t="str">
            <v>USA</v>
          </cell>
          <cell r="F470" t="str">
            <v>Wildtype</v>
          </cell>
          <cell r="G470">
            <v>0</v>
          </cell>
          <cell r="H470" t="str">
            <v>Clinical</v>
          </cell>
          <cell r="I470" t="str">
            <v>Wildtype</v>
          </cell>
          <cell r="K470">
            <v>4</v>
          </cell>
        </row>
        <row r="471">
          <cell r="A471" t="str">
            <v>C525</v>
          </cell>
          <cell r="B471">
            <v>40.712800000000001</v>
          </cell>
          <cell r="C471">
            <v>-74.006</v>
          </cell>
          <cell r="D471">
            <v>2015</v>
          </cell>
          <cell r="E471" t="str">
            <v>USA</v>
          </cell>
          <cell r="F471" t="str">
            <v>Wildtype</v>
          </cell>
          <cell r="G471">
            <v>0</v>
          </cell>
          <cell r="H471" t="str">
            <v>Clinical</v>
          </cell>
          <cell r="I471" t="str">
            <v>Wildtype</v>
          </cell>
          <cell r="K471">
            <v>4</v>
          </cell>
        </row>
        <row r="472">
          <cell r="A472" t="str">
            <v>C526</v>
          </cell>
          <cell r="B472">
            <v>40.267200000000003</v>
          </cell>
          <cell r="C472">
            <v>-86.134900000000002</v>
          </cell>
          <cell r="D472">
            <v>2015</v>
          </cell>
          <cell r="E472" t="str">
            <v>USA</v>
          </cell>
          <cell r="F472" t="str">
            <v>Wildtype</v>
          </cell>
          <cell r="G472">
            <v>0</v>
          </cell>
          <cell r="H472" t="str">
            <v>Clinical</v>
          </cell>
          <cell r="I472" t="str">
            <v>Wildtype</v>
          </cell>
          <cell r="K472">
            <v>4</v>
          </cell>
        </row>
        <row r="473">
          <cell r="A473" t="str">
            <v>C527</v>
          </cell>
          <cell r="B473">
            <v>40.267200000000003</v>
          </cell>
          <cell r="C473">
            <v>-86.134900000000002</v>
          </cell>
          <cell r="D473">
            <v>2015</v>
          </cell>
          <cell r="E473" t="str">
            <v>USA</v>
          </cell>
          <cell r="F473" t="str">
            <v>Wildtype</v>
          </cell>
          <cell r="G473">
            <v>0</v>
          </cell>
          <cell r="H473" t="str">
            <v>Clinical</v>
          </cell>
          <cell r="I473" t="str">
            <v>Wildtype</v>
          </cell>
          <cell r="K473">
            <v>4</v>
          </cell>
        </row>
        <row r="474">
          <cell r="A474" t="str">
            <v>C528</v>
          </cell>
          <cell r="B474">
            <v>39.0458</v>
          </cell>
          <cell r="C474">
            <v>-76.641300000000001</v>
          </cell>
          <cell r="D474">
            <v>2014</v>
          </cell>
          <cell r="E474" t="str">
            <v>USA</v>
          </cell>
          <cell r="F474" t="str">
            <v>Wildtype</v>
          </cell>
          <cell r="G474">
            <v>0</v>
          </cell>
          <cell r="H474" t="str">
            <v>Clinical</v>
          </cell>
          <cell r="I474" t="str">
            <v>Wildtype</v>
          </cell>
          <cell r="K474">
            <v>4</v>
          </cell>
        </row>
        <row r="475">
          <cell r="A475" t="str">
            <v>C529</v>
          </cell>
          <cell r="B475">
            <v>41.203299999999999</v>
          </cell>
          <cell r="C475">
            <v>-77.194500000000005</v>
          </cell>
          <cell r="D475">
            <v>2015</v>
          </cell>
          <cell r="E475" t="str">
            <v>USA</v>
          </cell>
          <cell r="F475" t="str">
            <v>TR34</v>
          </cell>
          <cell r="G475">
            <v>0</v>
          </cell>
          <cell r="H475" t="str">
            <v>Clinical</v>
          </cell>
          <cell r="I475" t="str">
            <v>Wildtype</v>
          </cell>
          <cell r="K475">
            <v>5</v>
          </cell>
        </row>
        <row r="476">
          <cell r="A476" t="str">
            <v>C53</v>
          </cell>
          <cell r="B476">
            <v>53.349805000000003</v>
          </cell>
          <cell r="C476">
            <v>-6.2603099999999996</v>
          </cell>
          <cell r="D476">
            <v>2013</v>
          </cell>
          <cell r="E476" t="str">
            <v>Republic of Ireland</v>
          </cell>
          <cell r="F476" t="str">
            <v>Wildtype</v>
          </cell>
          <cell r="G476" t="str">
            <v>MAT1-2</v>
          </cell>
          <cell r="H476" t="str">
            <v>Clinical</v>
          </cell>
          <cell r="I476" t="str">
            <v>Wildtype</v>
          </cell>
          <cell r="J476">
            <v>0.06</v>
          </cell>
          <cell r="K476">
            <v>4</v>
          </cell>
        </row>
        <row r="477">
          <cell r="A477" t="str">
            <v>C530</v>
          </cell>
          <cell r="B477">
            <v>41.203299999999999</v>
          </cell>
          <cell r="C477">
            <v>-77.194500000000005</v>
          </cell>
          <cell r="D477">
            <v>2015</v>
          </cell>
          <cell r="E477" t="str">
            <v>USA</v>
          </cell>
          <cell r="F477" t="str">
            <v>Wildtype</v>
          </cell>
          <cell r="G477">
            <v>0</v>
          </cell>
          <cell r="H477" t="str">
            <v>Clinical</v>
          </cell>
          <cell r="I477" t="str">
            <v>Wildtype</v>
          </cell>
          <cell r="K477">
            <v>4</v>
          </cell>
        </row>
        <row r="478">
          <cell r="A478" t="str">
            <v>C531</v>
          </cell>
          <cell r="B478">
            <v>32.165599999999998</v>
          </cell>
          <cell r="C478">
            <v>-82.900099999999995</v>
          </cell>
          <cell r="D478">
            <v>2015</v>
          </cell>
          <cell r="E478" t="str">
            <v>USA</v>
          </cell>
          <cell r="F478" t="str">
            <v>Wildtype</v>
          </cell>
          <cell r="G478">
            <v>0</v>
          </cell>
          <cell r="H478" t="str">
            <v>Clinical</v>
          </cell>
          <cell r="I478" t="str">
            <v>Wildtype</v>
          </cell>
          <cell r="K478">
            <v>4</v>
          </cell>
        </row>
        <row r="479">
          <cell r="A479" t="str">
            <v>C532</v>
          </cell>
          <cell r="B479">
            <v>32.165599999999998</v>
          </cell>
          <cell r="C479">
            <v>-82.900099999999995</v>
          </cell>
          <cell r="D479">
            <v>2015</v>
          </cell>
          <cell r="E479" t="str">
            <v>USA</v>
          </cell>
          <cell r="F479" t="str">
            <v>Wildtype</v>
          </cell>
          <cell r="G479">
            <v>0</v>
          </cell>
          <cell r="H479" t="str">
            <v>Clinical</v>
          </cell>
          <cell r="I479" t="str">
            <v>Wildtype</v>
          </cell>
          <cell r="K479">
            <v>4</v>
          </cell>
        </row>
        <row r="480">
          <cell r="A480" t="str">
            <v>C533</v>
          </cell>
          <cell r="B480">
            <v>32.165599999999998</v>
          </cell>
          <cell r="C480">
            <v>-82.900099999999995</v>
          </cell>
          <cell r="D480">
            <v>2015</v>
          </cell>
          <cell r="E480" t="str">
            <v>USA</v>
          </cell>
          <cell r="F480" t="str">
            <v>Wildtype</v>
          </cell>
          <cell r="G480">
            <v>0</v>
          </cell>
          <cell r="H480" t="str">
            <v>Clinical</v>
          </cell>
          <cell r="I480" t="str">
            <v>Wildtype</v>
          </cell>
          <cell r="K480">
            <v>4</v>
          </cell>
        </row>
        <row r="481">
          <cell r="A481" t="str">
            <v>C534</v>
          </cell>
          <cell r="B481">
            <v>32.165599999999998</v>
          </cell>
          <cell r="C481">
            <v>-82.900099999999995</v>
          </cell>
          <cell r="D481">
            <v>2015</v>
          </cell>
          <cell r="E481" t="str">
            <v>USA</v>
          </cell>
          <cell r="F481" t="str">
            <v>Wildtype</v>
          </cell>
          <cell r="G481">
            <v>0</v>
          </cell>
          <cell r="H481" t="str">
            <v>Clinical</v>
          </cell>
          <cell r="I481" t="str">
            <v>Wildtype</v>
          </cell>
          <cell r="K481">
            <v>4</v>
          </cell>
        </row>
        <row r="482">
          <cell r="A482" t="str">
            <v>C535</v>
          </cell>
          <cell r="B482">
            <v>32.165599999999998</v>
          </cell>
          <cell r="C482">
            <v>-82.900099999999995</v>
          </cell>
          <cell r="D482">
            <v>2015</v>
          </cell>
          <cell r="E482" t="str">
            <v>USA</v>
          </cell>
          <cell r="F482" t="str">
            <v>Wildtype</v>
          </cell>
          <cell r="G482">
            <v>0</v>
          </cell>
          <cell r="H482" t="str">
            <v>Clinical</v>
          </cell>
          <cell r="I482" t="str">
            <v>Wildtype</v>
          </cell>
          <cell r="K482">
            <v>4</v>
          </cell>
        </row>
        <row r="483">
          <cell r="A483" t="str">
            <v>C536</v>
          </cell>
          <cell r="B483">
            <v>44.314799999999998</v>
          </cell>
          <cell r="C483">
            <v>-85.602400000000003</v>
          </cell>
          <cell r="D483">
            <v>2015</v>
          </cell>
          <cell r="E483" t="str">
            <v>USA</v>
          </cell>
          <cell r="F483" t="str">
            <v>Wildtype</v>
          </cell>
          <cell r="G483">
            <v>0</v>
          </cell>
          <cell r="H483" t="str">
            <v>Clinical</v>
          </cell>
          <cell r="I483" t="str">
            <v>Wildtype</v>
          </cell>
          <cell r="K483">
            <v>5</v>
          </cell>
        </row>
        <row r="484">
          <cell r="A484" t="str">
            <v>C537</v>
          </cell>
          <cell r="B484">
            <v>35.759599999999999</v>
          </cell>
          <cell r="C484">
            <v>-79.019300000000001</v>
          </cell>
          <cell r="D484">
            <v>2013</v>
          </cell>
          <cell r="E484" t="str">
            <v>USA</v>
          </cell>
          <cell r="F484" t="str">
            <v>Wildtype</v>
          </cell>
          <cell r="G484">
            <v>0</v>
          </cell>
          <cell r="H484" t="str">
            <v>Clinical</v>
          </cell>
          <cell r="I484" t="str">
            <v>Wildtype</v>
          </cell>
          <cell r="K484">
            <v>4</v>
          </cell>
        </row>
        <row r="485">
          <cell r="A485" t="str">
            <v>C538</v>
          </cell>
          <cell r="B485">
            <v>35.759599999999999</v>
          </cell>
          <cell r="C485">
            <v>-79.019300000000001</v>
          </cell>
          <cell r="D485">
            <v>2013</v>
          </cell>
          <cell r="E485" t="str">
            <v>USA</v>
          </cell>
          <cell r="F485" t="str">
            <v>Wildtype</v>
          </cell>
          <cell r="G485">
            <v>0</v>
          </cell>
          <cell r="H485" t="str">
            <v>Clinical</v>
          </cell>
          <cell r="I485" t="str">
            <v>Wildtype</v>
          </cell>
          <cell r="K485">
            <v>4</v>
          </cell>
        </row>
        <row r="486">
          <cell r="A486" t="str">
            <v>C539</v>
          </cell>
          <cell r="B486">
            <v>37.090240000000001</v>
          </cell>
          <cell r="C486">
            <v>-95.712890999999999</v>
          </cell>
          <cell r="E486" t="str">
            <v>USA</v>
          </cell>
          <cell r="F486" t="str">
            <v>Wildtype</v>
          </cell>
          <cell r="G486">
            <v>0</v>
          </cell>
          <cell r="H486" t="str">
            <v>Clinical</v>
          </cell>
          <cell r="I486" t="str">
            <v>Wildtype</v>
          </cell>
          <cell r="K486">
            <v>3</v>
          </cell>
        </row>
        <row r="487">
          <cell r="A487" t="str">
            <v>C54</v>
          </cell>
          <cell r="B487">
            <v>53.349805000000003</v>
          </cell>
          <cell r="C487">
            <v>-6.2603099999999996</v>
          </cell>
          <cell r="D487">
            <v>2012</v>
          </cell>
          <cell r="E487" t="str">
            <v>Republic of Ireland</v>
          </cell>
          <cell r="F487" t="str">
            <v>Wildtype</v>
          </cell>
          <cell r="G487" t="str">
            <v>MAT1-2</v>
          </cell>
          <cell r="H487" t="str">
            <v>Clinical</v>
          </cell>
          <cell r="I487" t="str">
            <v>Wildtype</v>
          </cell>
          <cell r="J487" t="str">
            <v>&lt;0.015</v>
          </cell>
          <cell r="K487">
            <v>4</v>
          </cell>
        </row>
        <row r="488">
          <cell r="A488" t="str">
            <v>C540</v>
          </cell>
          <cell r="B488">
            <v>37.090240000000001</v>
          </cell>
          <cell r="C488">
            <v>-95.712890999999999</v>
          </cell>
          <cell r="E488" t="str">
            <v>USA</v>
          </cell>
          <cell r="F488" t="str">
            <v>Wildtype</v>
          </cell>
          <cell r="G488">
            <v>0</v>
          </cell>
          <cell r="H488" t="str">
            <v>Clinical</v>
          </cell>
          <cell r="I488" t="str">
            <v>Wildtype</v>
          </cell>
          <cell r="K488">
            <v>1</v>
          </cell>
        </row>
        <row r="489">
          <cell r="A489" t="str">
            <v>C541</v>
          </cell>
          <cell r="B489">
            <v>35.759599999999999</v>
          </cell>
          <cell r="C489">
            <v>-79.019300000000001</v>
          </cell>
          <cell r="D489">
            <v>2014</v>
          </cell>
          <cell r="E489" t="str">
            <v>USA</v>
          </cell>
          <cell r="F489" t="str">
            <v>Wildtype</v>
          </cell>
          <cell r="G489">
            <v>0</v>
          </cell>
          <cell r="H489" t="str">
            <v>Clinical</v>
          </cell>
          <cell r="I489" t="str">
            <v>Wildtype</v>
          </cell>
          <cell r="K489">
            <v>4</v>
          </cell>
        </row>
        <row r="490">
          <cell r="A490" t="str">
            <v>C542</v>
          </cell>
          <cell r="B490">
            <v>37.431600000000003</v>
          </cell>
          <cell r="C490">
            <v>-78.656899999999993</v>
          </cell>
          <cell r="D490">
            <v>2017</v>
          </cell>
          <cell r="E490" t="str">
            <v>USA</v>
          </cell>
          <cell r="F490" t="str">
            <v>Wildtype</v>
          </cell>
          <cell r="G490">
            <v>0</v>
          </cell>
          <cell r="H490" t="str">
            <v>Clinical</v>
          </cell>
          <cell r="I490" t="str">
            <v>Wildtype</v>
          </cell>
          <cell r="K490">
            <v>4</v>
          </cell>
        </row>
        <row r="491">
          <cell r="A491" t="str">
            <v>C543</v>
          </cell>
          <cell r="B491">
            <v>37.431600000000003</v>
          </cell>
          <cell r="C491">
            <v>-78.656899999999993</v>
          </cell>
          <cell r="D491">
            <v>2017</v>
          </cell>
          <cell r="E491" t="str">
            <v>USA</v>
          </cell>
          <cell r="F491" t="str">
            <v>Wildtype</v>
          </cell>
          <cell r="G491">
            <v>0</v>
          </cell>
          <cell r="H491" t="str">
            <v>Clinical</v>
          </cell>
          <cell r="I491" t="str">
            <v>Wildtype</v>
          </cell>
          <cell r="K491">
            <v>4</v>
          </cell>
        </row>
        <row r="492">
          <cell r="A492" t="str">
            <v>C544</v>
          </cell>
          <cell r="B492">
            <v>38.5976</v>
          </cell>
          <cell r="C492">
            <v>-80.454899999999995</v>
          </cell>
          <cell r="D492">
            <v>2017</v>
          </cell>
          <cell r="E492" t="str">
            <v>USA</v>
          </cell>
          <cell r="F492" t="str">
            <v>Wildtype</v>
          </cell>
          <cell r="G492">
            <v>0</v>
          </cell>
          <cell r="H492" t="str">
            <v>Clinical</v>
          </cell>
          <cell r="I492" t="str">
            <v>Wildtype</v>
          </cell>
          <cell r="K492">
            <v>5</v>
          </cell>
        </row>
        <row r="493">
          <cell r="A493" t="str">
            <v>C545</v>
          </cell>
          <cell r="B493">
            <v>44.314799999999998</v>
          </cell>
          <cell r="C493">
            <v>-85.602400000000003</v>
          </cell>
          <cell r="D493">
            <v>2015</v>
          </cell>
          <cell r="E493" t="str">
            <v>USA</v>
          </cell>
          <cell r="F493" t="str">
            <v>Wildtype</v>
          </cell>
          <cell r="G493">
            <v>0</v>
          </cell>
          <cell r="H493" t="str">
            <v>Clinical</v>
          </cell>
          <cell r="I493" t="str">
            <v>Wildtype</v>
          </cell>
          <cell r="K493">
            <v>5</v>
          </cell>
        </row>
        <row r="494">
          <cell r="A494" t="str">
            <v>C546</v>
          </cell>
          <cell r="B494">
            <v>36.778300000000002</v>
          </cell>
          <cell r="C494">
            <v>-119.4179</v>
          </cell>
          <cell r="D494">
            <v>2017</v>
          </cell>
          <cell r="E494" t="str">
            <v>USA</v>
          </cell>
          <cell r="F494" t="str">
            <v>Wildtype</v>
          </cell>
          <cell r="G494">
            <v>0</v>
          </cell>
          <cell r="H494" t="str">
            <v>Clinical</v>
          </cell>
          <cell r="I494" t="str">
            <v>Wildtype</v>
          </cell>
          <cell r="K494">
            <v>5</v>
          </cell>
        </row>
        <row r="495">
          <cell r="A495" t="str">
            <v>C547</v>
          </cell>
          <cell r="B495">
            <v>41.203299999999999</v>
          </cell>
          <cell r="C495">
            <v>-77.194500000000005</v>
          </cell>
          <cell r="D495">
            <v>2017</v>
          </cell>
          <cell r="E495" t="str">
            <v>USA</v>
          </cell>
          <cell r="F495" t="str">
            <v>Wildtype</v>
          </cell>
          <cell r="G495">
            <v>0</v>
          </cell>
          <cell r="H495" t="str">
            <v>Clinical</v>
          </cell>
          <cell r="I495" t="str">
            <v>Wildtype</v>
          </cell>
          <cell r="K495">
            <v>4</v>
          </cell>
        </row>
        <row r="496">
          <cell r="A496" t="str">
            <v>C548</v>
          </cell>
          <cell r="B496">
            <v>36.778300000000002</v>
          </cell>
          <cell r="C496">
            <v>-119.4179</v>
          </cell>
          <cell r="D496">
            <v>2017</v>
          </cell>
          <cell r="E496" t="str">
            <v>USA</v>
          </cell>
          <cell r="F496" t="str">
            <v>TR34/L98H</v>
          </cell>
          <cell r="G496">
            <v>0</v>
          </cell>
          <cell r="H496" t="str">
            <v>Clinical</v>
          </cell>
          <cell r="I496" t="str">
            <v>Wildtype</v>
          </cell>
          <cell r="K496">
            <v>3</v>
          </cell>
        </row>
        <row r="497">
          <cell r="A497" t="str">
            <v>C549</v>
          </cell>
          <cell r="B497">
            <v>37.431600000000003</v>
          </cell>
          <cell r="C497">
            <v>-78.656899999999993</v>
          </cell>
          <cell r="D497">
            <v>2016</v>
          </cell>
          <cell r="E497" t="str">
            <v>USA</v>
          </cell>
          <cell r="F497" t="str">
            <v>TR34/L98H</v>
          </cell>
          <cell r="G497">
            <v>0</v>
          </cell>
          <cell r="H497" t="str">
            <v>Clinical</v>
          </cell>
          <cell r="I497" t="str">
            <v>Wildtype</v>
          </cell>
          <cell r="K497">
            <v>3</v>
          </cell>
        </row>
        <row r="498">
          <cell r="A498" t="str">
            <v>C55</v>
          </cell>
          <cell r="B498">
            <v>53.349805000000003</v>
          </cell>
          <cell r="C498">
            <v>-6.2603099999999996</v>
          </cell>
          <cell r="D498">
            <v>2012</v>
          </cell>
          <cell r="E498" t="str">
            <v>Republic of Ireland</v>
          </cell>
          <cell r="F498" t="str">
            <v>Wildtype</v>
          </cell>
          <cell r="G498" t="str">
            <v>MAT1-2</v>
          </cell>
          <cell r="H498" t="str">
            <v>Clinical</v>
          </cell>
          <cell r="I498" t="str">
            <v>Wildtype</v>
          </cell>
          <cell r="J498">
            <v>0.25</v>
          </cell>
          <cell r="K498">
            <v>5</v>
          </cell>
        </row>
        <row r="499">
          <cell r="A499" t="str">
            <v>C550</v>
          </cell>
          <cell r="B499">
            <v>41.203299999999999</v>
          </cell>
          <cell r="C499">
            <v>-77.194500000000005</v>
          </cell>
          <cell r="D499">
            <v>2017</v>
          </cell>
          <cell r="E499" t="str">
            <v>USA</v>
          </cell>
          <cell r="F499" t="str">
            <v>TR34/L98H</v>
          </cell>
          <cell r="G499">
            <v>0</v>
          </cell>
          <cell r="H499" t="str">
            <v>Clinical</v>
          </cell>
          <cell r="I499" t="str">
            <v>F219Y</v>
          </cell>
          <cell r="K499">
            <v>3</v>
          </cell>
        </row>
        <row r="500">
          <cell r="A500" t="str">
            <v>C551</v>
          </cell>
          <cell r="B500">
            <v>41.203299999999999</v>
          </cell>
          <cell r="C500">
            <v>-77.194500000000005</v>
          </cell>
          <cell r="D500">
            <v>2016</v>
          </cell>
          <cell r="E500" t="str">
            <v>USA</v>
          </cell>
          <cell r="F500" t="str">
            <v>Wildtype</v>
          </cell>
          <cell r="G500">
            <v>0</v>
          </cell>
          <cell r="H500" t="str">
            <v>Clinical</v>
          </cell>
          <cell r="I500" t="str">
            <v>Wildtype</v>
          </cell>
          <cell r="K500">
            <v>4</v>
          </cell>
        </row>
        <row r="501">
          <cell r="A501" t="str">
            <v>C552</v>
          </cell>
          <cell r="B501">
            <v>41.203299999999999</v>
          </cell>
          <cell r="C501">
            <v>-77.194500000000005</v>
          </cell>
          <cell r="D501">
            <v>2016</v>
          </cell>
          <cell r="E501" t="str">
            <v>USA</v>
          </cell>
          <cell r="F501" t="str">
            <v>Wildtype</v>
          </cell>
          <cell r="G501">
            <v>0</v>
          </cell>
          <cell r="H501" t="str">
            <v>Clinical</v>
          </cell>
          <cell r="I501" t="str">
            <v>Wildtype</v>
          </cell>
          <cell r="K501">
            <v>5</v>
          </cell>
        </row>
        <row r="502">
          <cell r="A502" t="str">
            <v>C553</v>
          </cell>
          <cell r="B502">
            <v>40.058300000000003</v>
          </cell>
          <cell r="C502">
            <v>-74.405699999999996</v>
          </cell>
          <cell r="D502">
            <v>2016</v>
          </cell>
          <cell r="E502" t="str">
            <v>USA</v>
          </cell>
          <cell r="F502" t="str">
            <v>Wildtype</v>
          </cell>
          <cell r="G502">
            <v>0</v>
          </cell>
          <cell r="H502" t="str">
            <v>Clinical</v>
          </cell>
          <cell r="I502" t="str">
            <v>Wildtype</v>
          </cell>
          <cell r="K502">
            <v>4</v>
          </cell>
        </row>
        <row r="503">
          <cell r="A503" t="str">
            <v>C554</v>
          </cell>
          <cell r="B503">
            <v>40.058300000000003</v>
          </cell>
          <cell r="C503">
            <v>-74.405699999999996</v>
          </cell>
          <cell r="D503">
            <v>2016</v>
          </cell>
          <cell r="E503" t="str">
            <v>USA</v>
          </cell>
          <cell r="F503" t="str">
            <v>Wildtype</v>
          </cell>
          <cell r="G503">
            <v>0</v>
          </cell>
          <cell r="H503" t="str">
            <v>Clinical</v>
          </cell>
          <cell r="I503" t="str">
            <v>Wildtype</v>
          </cell>
          <cell r="K503">
            <v>5</v>
          </cell>
        </row>
        <row r="504">
          <cell r="A504" t="str">
            <v>C555</v>
          </cell>
          <cell r="B504">
            <v>35.201000000000001</v>
          </cell>
          <cell r="C504">
            <v>-91.831800000000001</v>
          </cell>
          <cell r="D504">
            <v>2016</v>
          </cell>
          <cell r="E504" t="str">
            <v>USA</v>
          </cell>
          <cell r="F504" t="str">
            <v>Wildtype</v>
          </cell>
          <cell r="G504">
            <v>0</v>
          </cell>
          <cell r="H504" t="str">
            <v>Clinical</v>
          </cell>
          <cell r="I504" t="str">
            <v>Wildtype</v>
          </cell>
          <cell r="K504">
            <v>4</v>
          </cell>
        </row>
        <row r="505">
          <cell r="A505" t="str">
            <v>C556</v>
          </cell>
          <cell r="B505">
            <v>44.314799999999998</v>
          </cell>
          <cell r="C505">
            <v>-85.602400000000003</v>
          </cell>
          <cell r="D505">
            <v>2015</v>
          </cell>
          <cell r="E505" t="str">
            <v>USA</v>
          </cell>
          <cell r="F505" t="str">
            <v>Wildtype</v>
          </cell>
          <cell r="G505">
            <v>0</v>
          </cell>
          <cell r="H505" t="str">
            <v>Clinical</v>
          </cell>
          <cell r="I505" t="str">
            <v>Wildtype</v>
          </cell>
          <cell r="K505">
            <v>4</v>
          </cell>
        </row>
        <row r="506">
          <cell r="A506" t="str">
            <v>C557</v>
          </cell>
          <cell r="B506">
            <v>38.910800000000002</v>
          </cell>
          <cell r="C506">
            <v>-75.527699999999996</v>
          </cell>
          <cell r="D506">
            <v>2016</v>
          </cell>
          <cell r="E506" t="str">
            <v>USA</v>
          </cell>
          <cell r="F506" t="str">
            <v>Wildtype</v>
          </cell>
          <cell r="G506">
            <v>0</v>
          </cell>
          <cell r="H506" t="str">
            <v>Clinical</v>
          </cell>
          <cell r="I506" t="str">
            <v>Wildtype</v>
          </cell>
          <cell r="K506">
            <v>3</v>
          </cell>
        </row>
        <row r="507">
          <cell r="A507" t="str">
            <v>C558</v>
          </cell>
          <cell r="B507">
            <v>46.8797</v>
          </cell>
          <cell r="C507">
            <v>-110.3626</v>
          </cell>
          <cell r="D507">
            <v>2016</v>
          </cell>
          <cell r="E507" t="str">
            <v>USA</v>
          </cell>
          <cell r="F507" t="str">
            <v>Wildtype</v>
          </cell>
          <cell r="G507">
            <v>0</v>
          </cell>
          <cell r="H507" t="str">
            <v>Clinical</v>
          </cell>
          <cell r="I507" t="str">
            <v>Wildtype</v>
          </cell>
          <cell r="K507">
            <v>5</v>
          </cell>
        </row>
        <row r="508">
          <cell r="A508" t="str">
            <v>C559</v>
          </cell>
          <cell r="B508">
            <v>43.076000000000001</v>
          </cell>
          <cell r="C508">
            <v>-107.2903</v>
          </cell>
          <cell r="D508">
            <v>2016</v>
          </cell>
          <cell r="E508" t="str">
            <v>USA</v>
          </cell>
          <cell r="F508" t="str">
            <v>Wildtype</v>
          </cell>
          <cell r="G508">
            <v>0</v>
          </cell>
          <cell r="H508" t="str">
            <v>Clinical</v>
          </cell>
          <cell r="I508" t="str">
            <v>Wildtype</v>
          </cell>
          <cell r="K508">
            <v>4</v>
          </cell>
        </row>
        <row r="509">
          <cell r="A509" t="str">
            <v>C56</v>
          </cell>
          <cell r="B509">
            <v>53.349805000000003</v>
          </cell>
          <cell r="C509">
            <v>-6.2603099999999996</v>
          </cell>
          <cell r="D509">
            <v>2012</v>
          </cell>
          <cell r="E509" t="str">
            <v>Republic of Ireland</v>
          </cell>
          <cell r="F509" t="str">
            <v>Wildtype</v>
          </cell>
          <cell r="G509" t="str">
            <v>MAT1-2</v>
          </cell>
          <cell r="H509" t="str">
            <v>Clinical</v>
          </cell>
          <cell r="I509" t="str">
            <v>Wildtype</v>
          </cell>
          <cell r="J509">
            <v>0.06</v>
          </cell>
          <cell r="K509">
            <v>5</v>
          </cell>
        </row>
        <row r="510">
          <cell r="A510" t="str">
            <v>C560</v>
          </cell>
          <cell r="B510">
            <v>46.8797</v>
          </cell>
          <cell r="C510">
            <v>-110.3626</v>
          </cell>
          <cell r="D510">
            <v>2016</v>
          </cell>
          <cell r="E510" t="str">
            <v>USA</v>
          </cell>
          <cell r="F510" t="str">
            <v>Wildtype</v>
          </cell>
          <cell r="G510">
            <v>0</v>
          </cell>
          <cell r="H510" t="str">
            <v>Clinical</v>
          </cell>
          <cell r="I510" t="str">
            <v>Wildtype</v>
          </cell>
          <cell r="K510">
            <v>5</v>
          </cell>
        </row>
        <row r="511">
          <cell r="A511" t="str">
            <v>C561</v>
          </cell>
          <cell r="B511">
            <v>35.201000000000001</v>
          </cell>
          <cell r="C511">
            <v>-91.831800000000001</v>
          </cell>
          <cell r="D511">
            <v>2016</v>
          </cell>
          <cell r="E511" t="str">
            <v>USA</v>
          </cell>
          <cell r="F511" t="str">
            <v>Wildtype</v>
          </cell>
          <cell r="G511">
            <v>0</v>
          </cell>
          <cell r="H511" t="str">
            <v>Clinical</v>
          </cell>
          <cell r="I511" t="str">
            <v>Wildtype</v>
          </cell>
          <cell r="K511">
            <v>4</v>
          </cell>
        </row>
        <row r="512">
          <cell r="A512" t="str">
            <v>C562</v>
          </cell>
          <cell r="B512">
            <v>32.354700000000001</v>
          </cell>
          <cell r="C512">
            <v>-89.398499999999999</v>
          </cell>
          <cell r="D512">
            <v>2016</v>
          </cell>
          <cell r="E512" t="str">
            <v>USA</v>
          </cell>
          <cell r="F512" t="str">
            <v>Wildtype</v>
          </cell>
          <cell r="G512">
            <v>0</v>
          </cell>
          <cell r="H512" t="str">
            <v>Clinical</v>
          </cell>
          <cell r="I512" t="str">
            <v>Wildtype</v>
          </cell>
          <cell r="K512">
            <v>4</v>
          </cell>
        </row>
        <row r="513">
          <cell r="A513" t="str">
            <v>C563</v>
          </cell>
          <cell r="B513">
            <v>37.839300000000001</v>
          </cell>
          <cell r="C513">
            <v>-84.27</v>
          </cell>
          <cell r="D513">
            <v>2016</v>
          </cell>
          <cell r="E513" t="str">
            <v>USA</v>
          </cell>
          <cell r="F513" t="str">
            <v>Wildtype</v>
          </cell>
          <cell r="G513">
            <v>0</v>
          </cell>
          <cell r="H513" t="str">
            <v>Clinical</v>
          </cell>
          <cell r="I513" t="str">
            <v>Wildtype</v>
          </cell>
          <cell r="K513">
            <v>4</v>
          </cell>
        </row>
        <row r="514">
          <cell r="A514" t="str">
            <v>C564</v>
          </cell>
          <cell r="B514">
            <v>37.839300000000001</v>
          </cell>
          <cell r="C514">
            <v>-84.27</v>
          </cell>
          <cell r="D514">
            <v>2016</v>
          </cell>
          <cell r="E514" t="str">
            <v>USA</v>
          </cell>
          <cell r="F514" t="str">
            <v>Wildtype</v>
          </cell>
          <cell r="G514">
            <v>0</v>
          </cell>
          <cell r="H514" t="str">
            <v>Clinical</v>
          </cell>
          <cell r="I514" t="str">
            <v>Wildtype</v>
          </cell>
          <cell r="K514">
            <v>4</v>
          </cell>
        </row>
        <row r="515">
          <cell r="A515" t="str">
            <v>C565</v>
          </cell>
          <cell r="B515">
            <v>35.201000000000001</v>
          </cell>
          <cell r="C515">
            <v>-91.831800000000001</v>
          </cell>
          <cell r="D515">
            <v>2016</v>
          </cell>
          <cell r="E515" t="str">
            <v>USA</v>
          </cell>
          <cell r="F515" t="str">
            <v>Wildtype</v>
          </cell>
          <cell r="G515">
            <v>0</v>
          </cell>
          <cell r="H515" t="str">
            <v>Clinical</v>
          </cell>
          <cell r="I515" t="str">
            <v>Wildtype</v>
          </cell>
          <cell r="K515">
            <v>4</v>
          </cell>
        </row>
        <row r="516">
          <cell r="A516" t="str">
            <v>C566</v>
          </cell>
          <cell r="B516">
            <v>31.968599999999999</v>
          </cell>
          <cell r="C516">
            <v>-99.901799999999994</v>
          </cell>
          <cell r="D516">
            <v>2016</v>
          </cell>
          <cell r="E516" t="str">
            <v>USA</v>
          </cell>
          <cell r="F516" t="str">
            <v>Wildtype</v>
          </cell>
          <cell r="G516">
            <v>0</v>
          </cell>
          <cell r="H516" t="str">
            <v>Clinical</v>
          </cell>
          <cell r="I516" t="str">
            <v>Wildtype</v>
          </cell>
          <cell r="K516">
            <v>4</v>
          </cell>
        </row>
        <row r="517">
          <cell r="A517" t="str">
            <v>C567</v>
          </cell>
          <cell r="B517">
            <v>31.968599999999999</v>
          </cell>
          <cell r="C517">
            <v>-99.901799999999994</v>
          </cell>
          <cell r="D517">
            <v>2015</v>
          </cell>
          <cell r="E517" t="str">
            <v>USA</v>
          </cell>
          <cell r="F517" t="str">
            <v>Wildtype</v>
          </cell>
          <cell r="G517">
            <v>0</v>
          </cell>
          <cell r="H517" t="str">
            <v>Clinical</v>
          </cell>
          <cell r="I517" t="str">
            <v>Wildtype</v>
          </cell>
          <cell r="K517">
            <v>4</v>
          </cell>
        </row>
        <row r="518">
          <cell r="A518" t="str">
            <v>C568</v>
          </cell>
          <cell r="B518">
            <v>41.203299999999999</v>
          </cell>
          <cell r="C518">
            <v>-77.194500000000005</v>
          </cell>
          <cell r="D518">
            <v>2016</v>
          </cell>
          <cell r="E518" t="str">
            <v>USA</v>
          </cell>
          <cell r="F518" t="str">
            <v>Wildtype</v>
          </cell>
          <cell r="G518">
            <v>0</v>
          </cell>
          <cell r="H518" t="str">
            <v>Clinical</v>
          </cell>
          <cell r="I518" t="str">
            <v>Wildtype</v>
          </cell>
          <cell r="K518">
            <v>5</v>
          </cell>
        </row>
        <row r="519">
          <cell r="A519" t="str">
            <v>C569</v>
          </cell>
          <cell r="B519">
            <v>41.203299999999999</v>
          </cell>
          <cell r="C519">
            <v>-77.194500000000005</v>
          </cell>
          <cell r="D519">
            <v>2016</v>
          </cell>
          <cell r="E519" t="str">
            <v>USA</v>
          </cell>
          <cell r="F519" t="str">
            <v>Wildtype</v>
          </cell>
          <cell r="G519">
            <v>0</v>
          </cell>
          <cell r="H519" t="str">
            <v>Clinical</v>
          </cell>
          <cell r="I519" t="str">
            <v>Wildtype</v>
          </cell>
          <cell r="K519">
            <v>4</v>
          </cell>
        </row>
        <row r="520">
          <cell r="A520" t="str">
            <v>C57</v>
          </cell>
          <cell r="B520">
            <v>53.349805000000003</v>
          </cell>
          <cell r="C520">
            <v>-6.2603099999999996</v>
          </cell>
          <cell r="D520">
            <v>2013</v>
          </cell>
          <cell r="E520" t="str">
            <v>Republic of Ireland</v>
          </cell>
          <cell r="F520" t="str">
            <v>Wildtype</v>
          </cell>
          <cell r="G520" t="str">
            <v>MAT1-2</v>
          </cell>
          <cell r="H520" t="str">
            <v>Clinical</v>
          </cell>
          <cell r="I520" t="str">
            <v>Wildtype</v>
          </cell>
          <cell r="J520">
            <v>0.03</v>
          </cell>
          <cell r="K520">
            <v>5</v>
          </cell>
        </row>
        <row r="521">
          <cell r="A521" t="str">
            <v>C570</v>
          </cell>
          <cell r="B521">
            <v>37.090240000000001</v>
          </cell>
          <cell r="C521">
            <v>-95.712890999999999</v>
          </cell>
          <cell r="D521">
            <v>2016</v>
          </cell>
          <cell r="E521" t="str">
            <v>USA</v>
          </cell>
          <cell r="F521" t="str">
            <v>Wildtype</v>
          </cell>
          <cell r="G521">
            <v>0</v>
          </cell>
          <cell r="H521" t="str">
            <v>Clinical</v>
          </cell>
          <cell r="I521" t="str">
            <v>Wildtype</v>
          </cell>
          <cell r="K521">
            <v>4</v>
          </cell>
        </row>
        <row r="522">
          <cell r="A522" t="str">
            <v>C571</v>
          </cell>
          <cell r="B522">
            <v>43.784399999999998</v>
          </cell>
          <cell r="C522">
            <v>-88.787899999999993</v>
          </cell>
          <cell r="D522">
            <v>2016</v>
          </cell>
          <cell r="E522" t="str">
            <v>USA</v>
          </cell>
          <cell r="F522" t="str">
            <v>Wildtype</v>
          </cell>
          <cell r="G522">
            <v>0</v>
          </cell>
          <cell r="H522" t="str">
            <v>Clinical</v>
          </cell>
          <cell r="I522" t="str">
            <v>Wildtype</v>
          </cell>
          <cell r="K522">
            <v>5</v>
          </cell>
        </row>
        <row r="523">
          <cell r="A523" t="str">
            <v>C572</v>
          </cell>
          <cell r="B523">
            <v>37.431600000000003</v>
          </cell>
          <cell r="C523">
            <v>-78.656899999999993</v>
          </cell>
          <cell r="D523">
            <v>2016</v>
          </cell>
          <cell r="E523" t="str">
            <v>USA</v>
          </cell>
          <cell r="F523" t="str">
            <v>Wildtype</v>
          </cell>
          <cell r="G523">
            <v>0</v>
          </cell>
          <cell r="H523" t="str">
            <v>Clinical</v>
          </cell>
          <cell r="I523" t="str">
            <v>Wildtype</v>
          </cell>
          <cell r="K523">
            <v>4</v>
          </cell>
        </row>
        <row r="524">
          <cell r="A524" t="str">
            <v>C573</v>
          </cell>
          <cell r="B524">
            <v>64.200800000000001</v>
          </cell>
          <cell r="C524">
            <v>-149.49369999999999</v>
          </cell>
          <cell r="D524">
            <v>2016</v>
          </cell>
          <cell r="E524" t="str">
            <v>USA</v>
          </cell>
          <cell r="F524" t="str">
            <v>Wildtype</v>
          </cell>
          <cell r="G524">
            <v>0</v>
          </cell>
          <cell r="H524" t="str">
            <v>Clinical</v>
          </cell>
          <cell r="I524" t="str">
            <v>Wildtype</v>
          </cell>
          <cell r="K524">
            <v>4</v>
          </cell>
        </row>
        <row r="525">
          <cell r="A525" t="str">
            <v>C574</v>
          </cell>
          <cell r="B525">
            <v>38.910800000000002</v>
          </cell>
          <cell r="C525">
            <v>-75.527699999999996</v>
          </cell>
          <cell r="D525">
            <v>2016</v>
          </cell>
          <cell r="E525" t="str">
            <v>USA</v>
          </cell>
          <cell r="F525" t="str">
            <v>Wildtype</v>
          </cell>
          <cell r="G525">
            <v>0</v>
          </cell>
          <cell r="H525" t="str">
            <v>Clinical</v>
          </cell>
          <cell r="I525" t="str">
            <v>Wildtype</v>
          </cell>
          <cell r="K525">
            <v>5</v>
          </cell>
        </row>
        <row r="526">
          <cell r="A526" t="str">
            <v>C575</v>
          </cell>
          <cell r="B526">
            <v>32.165599999999998</v>
          </cell>
          <cell r="C526">
            <v>-82.900099999999995</v>
          </cell>
          <cell r="D526">
            <v>2016</v>
          </cell>
          <cell r="E526" t="str">
            <v>USA</v>
          </cell>
          <cell r="F526" t="str">
            <v>Wildtype</v>
          </cell>
          <cell r="G526">
            <v>0</v>
          </cell>
          <cell r="H526" t="str">
            <v>Clinical</v>
          </cell>
          <cell r="I526" t="str">
            <v>Wildtype</v>
          </cell>
          <cell r="K526">
            <v>1</v>
          </cell>
        </row>
        <row r="527">
          <cell r="A527" t="str">
            <v>C576</v>
          </cell>
          <cell r="B527">
            <v>43.076000000000001</v>
          </cell>
          <cell r="C527">
            <v>-107.2903</v>
          </cell>
          <cell r="D527">
            <v>2016</v>
          </cell>
          <cell r="E527" t="str">
            <v>USA</v>
          </cell>
          <cell r="F527" t="str">
            <v>Wildtype</v>
          </cell>
          <cell r="G527">
            <v>0</v>
          </cell>
          <cell r="H527" t="str">
            <v>Clinical</v>
          </cell>
          <cell r="I527" t="str">
            <v>Wildtype</v>
          </cell>
          <cell r="K527">
            <v>3</v>
          </cell>
        </row>
        <row r="528">
          <cell r="A528" t="str">
            <v>C577</v>
          </cell>
          <cell r="B528">
            <v>38.910800000000002</v>
          </cell>
          <cell r="C528">
            <v>-75.527699999999996</v>
          </cell>
          <cell r="D528">
            <v>2016</v>
          </cell>
          <cell r="E528" t="str">
            <v>USA</v>
          </cell>
          <cell r="F528" t="str">
            <v>Wildtype</v>
          </cell>
          <cell r="G528">
            <v>0</v>
          </cell>
          <cell r="H528" t="str">
            <v>Clinical</v>
          </cell>
          <cell r="I528" t="str">
            <v>Wildtype</v>
          </cell>
          <cell r="K528">
            <v>4</v>
          </cell>
        </row>
        <row r="529">
          <cell r="A529" t="str">
            <v>C578</v>
          </cell>
          <cell r="B529">
            <v>40.267200000000003</v>
          </cell>
          <cell r="C529">
            <v>-86.134900000000002</v>
          </cell>
          <cell r="D529">
            <v>2015</v>
          </cell>
          <cell r="E529" t="str">
            <v>USA</v>
          </cell>
          <cell r="F529" t="str">
            <v>Wildtype</v>
          </cell>
          <cell r="G529">
            <v>0</v>
          </cell>
          <cell r="H529" t="str">
            <v>Clinical</v>
          </cell>
          <cell r="I529" t="str">
            <v>Wildtype</v>
          </cell>
          <cell r="K529">
            <v>4</v>
          </cell>
        </row>
        <row r="530">
          <cell r="A530" t="str">
            <v>C579</v>
          </cell>
          <cell r="B530">
            <v>41.203299999999999</v>
          </cell>
          <cell r="C530">
            <v>-77.194500000000005</v>
          </cell>
          <cell r="D530">
            <v>2016</v>
          </cell>
          <cell r="E530" t="str">
            <v>USA</v>
          </cell>
          <cell r="F530" t="str">
            <v>Wildtype</v>
          </cell>
          <cell r="G530">
            <v>0</v>
          </cell>
          <cell r="H530" t="str">
            <v>Clinical</v>
          </cell>
          <cell r="I530" t="str">
            <v>Wildtype</v>
          </cell>
          <cell r="K530">
            <v>4</v>
          </cell>
        </row>
        <row r="531">
          <cell r="A531" t="str">
            <v>C58</v>
          </cell>
          <cell r="B531">
            <v>53.349805000000003</v>
          </cell>
          <cell r="C531">
            <v>-6.2603099999999996</v>
          </cell>
          <cell r="D531">
            <v>2010</v>
          </cell>
          <cell r="E531" t="str">
            <v>Republic of Ireland</v>
          </cell>
          <cell r="F531" t="str">
            <v>Wildtype</v>
          </cell>
          <cell r="G531" t="str">
            <v>MAT1-1</v>
          </cell>
          <cell r="H531" t="str">
            <v>Clinical</v>
          </cell>
          <cell r="I531" t="str">
            <v>Wildtype</v>
          </cell>
          <cell r="J531">
            <v>0.12</v>
          </cell>
          <cell r="K531">
            <v>5</v>
          </cell>
        </row>
        <row r="532">
          <cell r="A532" t="str">
            <v>C580</v>
          </cell>
          <cell r="B532">
            <v>36.778300000000002</v>
          </cell>
          <cell r="C532">
            <v>-119.4179</v>
          </cell>
          <cell r="D532">
            <v>2016</v>
          </cell>
          <cell r="E532" t="str">
            <v>USA</v>
          </cell>
          <cell r="F532" t="str">
            <v>Wildtype</v>
          </cell>
          <cell r="G532">
            <v>0</v>
          </cell>
          <cell r="H532" t="str">
            <v>Clinical</v>
          </cell>
          <cell r="I532" t="str">
            <v>Wildtype</v>
          </cell>
          <cell r="K532">
            <v>5</v>
          </cell>
        </row>
        <row r="533">
          <cell r="A533" t="str">
            <v>C581</v>
          </cell>
          <cell r="B533">
            <v>36.778300000000002</v>
          </cell>
          <cell r="C533">
            <v>-119.4179</v>
          </cell>
          <cell r="D533">
            <v>2016</v>
          </cell>
          <cell r="E533" t="str">
            <v>USA</v>
          </cell>
          <cell r="F533" t="str">
            <v>Wildtype</v>
          </cell>
          <cell r="G533">
            <v>0</v>
          </cell>
          <cell r="H533" t="str">
            <v>Clinical</v>
          </cell>
          <cell r="I533" t="str">
            <v>Wildtype</v>
          </cell>
          <cell r="K533">
            <v>4</v>
          </cell>
        </row>
        <row r="534">
          <cell r="A534" t="str">
            <v>C582</v>
          </cell>
          <cell r="B534">
            <v>36.778300000000002</v>
          </cell>
          <cell r="C534">
            <v>-119.4179</v>
          </cell>
          <cell r="D534">
            <v>2016</v>
          </cell>
          <cell r="E534" t="str">
            <v>USA</v>
          </cell>
          <cell r="F534" t="str">
            <v>Wildtype</v>
          </cell>
          <cell r="G534">
            <v>0</v>
          </cell>
          <cell r="H534" t="str">
            <v>Clinical</v>
          </cell>
          <cell r="I534" t="str">
            <v>Wildtype</v>
          </cell>
          <cell r="K534">
            <v>5</v>
          </cell>
        </row>
        <row r="535">
          <cell r="A535" t="str">
            <v>C583</v>
          </cell>
          <cell r="B535">
            <v>41.203299999999999</v>
          </cell>
          <cell r="C535">
            <v>-77.194500000000005</v>
          </cell>
          <cell r="D535">
            <v>2016</v>
          </cell>
          <cell r="E535" t="str">
            <v>USA</v>
          </cell>
          <cell r="F535" t="str">
            <v>Wildtype</v>
          </cell>
          <cell r="G535">
            <v>0</v>
          </cell>
          <cell r="H535" t="str">
            <v>Clinical</v>
          </cell>
          <cell r="I535" t="str">
            <v>Wildtype</v>
          </cell>
          <cell r="K535">
            <v>5</v>
          </cell>
        </row>
        <row r="536">
          <cell r="A536" t="str">
            <v>C584</v>
          </cell>
          <cell r="B536">
            <v>32.318199999999997</v>
          </cell>
          <cell r="C536">
            <v>-86.902299999999997</v>
          </cell>
          <cell r="D536">
            <v>2016</v>
          </cell>
          <cell r="E536" t="str">
            <v>USA</v>
          </cell>
          <cell r="F536" t="str">
            <v>Wildtype</v>
          </cell>
          <cell r="G536">
            <v>0</v>
          </cell>
          <cell r="H536" t="str">
            <v>Clinical</v>
          </cell>
          <cell r="I536" t="str">
            <v>Wildtype</v>
          </cell>
          <cell r="K536">
            <v>1</v>
          </cell>
        </row>
        <row r="537">
          <cell r="A537" t="str">
            <v>C585</v>
          </cell>
          <cell r="B537">
            <v>32.165599999999998</v>
          </cell>
          <cell r="C537">
            <v>-82.900099999999995</v>
          </cell>
          <cell r="D537">
            <v>2016</v>
          </cell>
          <cell r="E537" t="str">
            <v>USA</v>
          </cell>
          <cell r="F537" t="str">
            <v>Wildtype</v>
          </cell>
          <cell r="G537">
            <v>0</v>
          </cell>
          <cell r="H537" t="str">
            <v>Clinical</v>
          </cell>
          <cell r="I537" t="str">
            <v>Wildtype</v>
          </cell>
          <cell r="K537">
            <v>4</v>
          </cell>
        </row>
        <row r="538">
          <cell r="A538" t="str">
            <v>C586</v>
          </cell>
          <cell r="B538">
            <v>32.165599999999998</v>
          </cell>
          <cell r="C538">
            <v>-82.900099999999995</v>
          </cell>
          <cell r="D538">
            <v>2016</v>
          </cell>
          <cell r="E538" t="str">
            <v>USA</v>
          </cell>
          <cell r="F538" t="str">
            <v>Wildtype</v>
          </cell>
          <cell r="G538">
            <v>0</v>
          </cell>
          <cell r="H538" t="str">
            <v>Clinical</v>
          </cell>
          <cell r="I538" t="str">
            <v>Wildtype</v>
          </cell>
          <cell r="K538">
            <v>4</v>
          </cell>
        </row>
        <row r="539">
          <cell r="A539" t="str">
            <v>C587</v>
          </cell>
          <cell r="B539">
            <v>40.417299999999997</v>
          </cell>
          <cell r="C539">
            <v>-82.9071</v>
          </cell>
          <cell r="D539">
            <v>2016</v>
          </cell>
          <cell r="E539" t="str">
            <v>USA</v>
          </cell>
          <cell r="F539" t="str">
            <v>Wildtype</v>
          </cell>
          <cell r="G539">
            <v>0</v>
          </cell>
          <cell r="H539" t="str">
            <v>Clinical</v>
          </cell>
          <cell r="I539" t="str">
            <v>Wildtype</v>
          </cell>
          <cell r="K539">
            <v>4</v>
          </cell>
        </row>
        <row r="540">
          <cell r="A540" t="str">
            <v>C588</v>
          </cell>
          <cell r="B540">
            <v>40.058300000000003</v>
          </cell>
          <cell r="C540">
            <v>-74.405699999999996</v>
          </cell>
          <cell r="D540">
            <v>2016</v>
          </cell>
          <cell r="E540" t="str">
            <v>USA</v>
          </cell>
          <cell r="F540" t="str">
            <v>Wildtype</v>
          </cell>
          <cell r="G540">
            <v>0</v>
          </cell>
          <cell r="H540" t="str">
            <v>Clinical</v>
          </cell>
          <cell r="I540" t="str">
            <v>Wildtype</v>
          </cell>
          <cell r="K540">
            <v>4</v>
          </cell>
        </row>
        <row r="541">
          <cell r="A541" t="str">
            <v>C589</v>
          </cell>
          <cell r="B541">
            <v>40.267200000000003</v>
          </cell>
          <cell r="C541">
            <v>-86.134900000000002</v>
          </cell>
          <cell r="D541">
            <v>2015</v>
          </cell>
          <cell r="E541" t="str">
            <v>USA</v>
          </cell>
          <cell r="F541" t="str">
            <v>Wildtype</v>
          </cell>
          <cell r="G541">
            <v>0</v>
          </cell>
          <cell r="H541" t="str">
            <v>Clinical</v>
          </cell>
          <cell r="I541" t="str">
            <v>Wildtype</v>
          </cell>
          <cell r="K541">
            <v>4</v>
          </cell>
        </row>
        <row r="542">
          <cell r="A542" t="str">
            <v>C59</v>
          </cell>
          <cell r="B542">
            <v>53.349805000000003</v>
          </cell>
          <cell r="C542">
            <v>-6.2603099999999996</v>
          </cell>
          <cell r="D542">
            <v>2010</v>
          </cell>
          <cell r="E542" t="str">
            <v>Republic of Ireland</v>
          </cell>
          <cell r="F542" t="str">
            <v>Wildtype</v>
          </cell>
          <cell r="G542" t="str">
            <v>MAT1-1</v>
          </cell>
          <cell r="H542" t="str">
            <v>Clinical</v>
          </cell>
          <cell r="I542" t="str">
            <v>Wildtype</v>
          </cell>
          <cell r="J542">
            <v>0.06</v>
          </cell>
          <cell r="K542">
            <v>5</v>
          </cell>
        </row>
        <row r="543">
          <cell r="A543" t="str">
            <v>C590</v>
          </cell>
          <cell r="B543">
            <v>40.633099999999999</v>
          </cell>
          <cell r="C543">
            <v>-89.398499999999999</v>
          </cell>
          <cell r="D543">
            <v>2016</v>
          </cell>
          <cell r="E543" t="str">
            <v>USA</v>
          </cell>
          <cell r="F543" t="str">
            <v>Wildtype</v>
          </cell>
          <cell r="G543">
            <v>0</v>
          </cell>
          <cell r="H543" t="str">
            <v>Clinical</v>
          </cell>
          <cell r="I543" t="str">
            <v>Wildtype</v>
          </cell>
          <cell r="K543">
            <v>5</v>
          </cell>
        </row>
        <row r="544">
          <cell r="A544" t="str">
            <v>C591</v>
          </cell>
          <cell r="B544">
            <v>35.201000000000001</v>
          </cell>
          <cell r="C544">
            <v>-91.831800000000001</v>
          </cell>
          <cell r="D544">
            <v>2016</v>
          </cell>
          <cell r="E544" t="str">
            <v>USA</v>
          </cell>
          <cell r="F544" t="str">
            <v>Wildtype</v>
          </cell>
          <cell r="G544">
            <v>0</v>
          </cell>
          <cell r="H544" t="str">
            <v>Clinical</v>
          </cell>
          <cell r="I544" t="str">
            <v>Wildtype</v>
          </cell>
          <cell r="K544">
            <v>5</v>
          </cell>
        </row>
        <row r="545">
          <cell r="A545" t="str">
            <v>C592</v>
          </cell>
          <cell r="B545">
            <v>40.058300000000003</v>
          </cell>
          <cell r="C545">
            <v>-74.405699999999996</v>
          </cell>
          <cell r="D545">
            <v>2016</v>
          </cell>
          <cell r="E545" t="str">
            <v>USA</v>
          </cell>
          <cell r="F545" t="str">
            <v>Wildtype</v>
          </cell>
          <cell r="G545">
            <v>0</v>
          </cell>
          <cell r="H545" t="str">
            <v>Clinical</v>
          </cell>
          <cell r="I545" t="str">
            <v>Wildtype</v>
          </cell>
          <cell r="K545">
            <v>4</v>
          </cell>
        </row>
        <row r="546">
          <cell r="A546" t="str">
            <v>C593</v>
          </cell>
          <cell r="B546">
            <v>41.203299999999999</v>
          </cell>
          <cell r="C546">
            <v>-77.194500000000005</v>
          </cell>
          <cell r="D546">
            <v>2016</v>
          </cell>
          <cell r="E546" t="str">
            <v>USA</v>
          </cell>
          <cell r="F546" t="str">
            <v>Wildtype</v>
          </cell>
          <cell r="G546">
            <v>0</v>
          </cell>
          <cell r="H546" t="str">
            <v>Clinical</v>
          </cell>
          <cell r="I546" t="str">
            <v>Wildtype</v>
          </cell>
          <cell r="K546">
            <v>5</v>
          </cell>
        </row>
        <row r="547">
          <cell r="A547" t="str">
            <v>C594</v>
          </cell>
          <cell r="B547">
            <v>41.203299999999999</v>
          </cell>
          <cell r="C547">
            <v>-77.194500000000005</v>
          </cell>
          <cell r="D547">
            <v>2016</v>
          </cell>
          <cell r="E547" t="str">
            <v>USA</v>
          </cell>
          <cell r="F547" t="str">
            <v>Wildtype</v>
          </cell>
          <cell r="G547">
            <v>0</v>
          </cell>
          <cell r="H547" t="str">
            <v>Clinical</v>
          </cell>
          <cell r="I547" t="str">
            <v>Wildtype</v>
          </cell>
          <cell r="K547">
            <v>4</v>
          </cell>
        </row>
        <row r="548">
          <cell r="A548" t="str">
            <v>C595</v>
          </cell>
          <cell r="B548">
            <v>34.048900000000003</v>
          </cell>
          <cell r="C548">
            <v>-111.0937</v>
          </cell>
          <cell r="D548">
            <v>2016</v>
          </cell>
          <cell r="E548" t="str">
            <v>USA</v>
          </cell>
          <cell r="F548" t="str">
            <v>Wildtype</v>
          </cell>
          <cell r="G548">
            <v>0</v>
          </cell>
          <cell r="H548" t="str">
            <v>Clinical</v>
          </cell>
          <cell r="I548" t="str">
            <v>Wildtype</v>
          </cell>
          <cell r="K548">
            <v>4</v>
          </cell>
        </row>
        <row r="549">
          <cell r="A549" t="str">
            <v>C596</v>
          </cell>
          <cell r="B549">
            <v>34.5199</v>
          </cell>
          <cell r="C549">
            <v>-105.87009999999999</v>
          </cell>
          <cell r="D549">
            <v>2016</v>
          </cell>
          <cell r="E549" t="str">
            <v>USA</v>
          </cell>
          <cell r="F549" t="str">
            <v>Wildtype</v>
          </cell>
          <cell r="G549">
            <v>0</v>
          </cell>
          <cell r="H549" t="str">
            <v>Clinical</v>
          </cell>
          <cell r="I549" t="str">
            <v>Wildtype</v>
          </cell>
          <cell r="K549">
            <v>4</v>
          </cell>
        </row>
        <row r="550">
          <cell r="A550" t="str">
            <v>C597</v>
          </cell>
          <cell r="B550">
            <v>37.964300000000001</v>
          </cell>
          <cell r="C550">
            <v>-91.831800000000001</v>
          </cell>
          <cell r="D550">
            <v>2016</v>
          </cell>
          <cell r="E550" t="str">
            <v>USA</v>
          </cell>
          <cell r="F550" t="str">
            <v>Wildtype</v>
          </cell>
          <cell r="G550">
            <v>0</v>
          </cell>
          <cell r="H550" t="str">
            <v>Clinical</v>
          </cell>
          <cell r="I550" t="str">
            <v>Wildtype</v>
          </cell>
          <cell r="K550">
            <v>4</v>
          </cell>
        </row>
        <row r="551">
          <cell r="A551" t="str">
            <v>C598</v>
          </cell>
          <cell r="B551">
            <v>42.407200000000003</v>
          </cell>
          <cell r="C551">
            <v>-71.382400000000004</v>
          </cell>
          <cell r="D551">
            <v>2016</v>
          </cell>
          <cell r="E551" t="str">
            <v>USA</v>
          </cell>
          <cell r="F551" t="str">
            <v>Wildtype</v>
          </cell>
          <cell r="G551">
            <v>0</v>
          </cell>
          <cell r="H551" t="str">
            <v>Clinical</v>
          </cell>
          <cell r="I551" t="str">
            <v>Wildtype</v>
          </cell>
          <cell r="K551">
            <v>5</v>
          </cell>
        </row>
        <row r="552">
          <cell r="A552" t="str">
            <v>C599</v>
          </cell>
          <cell r="B552">
            <v>35.201000000000001</v>
          </cell>
          <cell r="C552">
            <v>-91.831800000000001</v>
          </cell>
          <cell r="D552">
            <v>2016</v>
          </cell>
          <cell r="E552" t="str">
            <v>USA</v>
          </cell>
          <cell r="F552" t="str">
            <v>Wildtype</v>
          </cell>
          <cell r="G552">
            <v>0</v>
          </cell>
          <cell r="H552" t="str">
            <v>Clinical</v>
          </cell>
          <cell r="I552" t="str">
            <v>Wildtype</v>
          </cell>
          <cell r="K552">
            <v>5</v>
          </cell>
        </row>
        <row r="553">
          <cell r="A553" t="str">
            <v>C6</v>
          </cell>
          <cell r="B553">
            <v>53.800755000000002</v>
          </cell>
          <cell r="C553">
            <v>-1.549077</v>
          </cell>
          <cell r="D553">
            <v>2012</v>
          </cell>
          <cell r="E553" t="str">
            <v>UK</v>
          </cell>
          <cell r="F553" t="str">
            <v>Wildtype</v>
          </cell>
          <cell r="G553" t="str">
            <v>MAT1-1</v>
          </cell>
          <cell r="H553" t="str">
            <v>Clinical</v>
          </cell>
          <cell r="I553" t="str">
            <v>Wildtype</v>
          </cell>
          <cell r="J553">
            <v>0.5</v>
          </cell>
          <cell r="K553">
            <v>3</v>
          </cell>
        </row>
        <row r="554">
          <cell r="A554" t="str">
            <v>C60</v>
          </cell>
          <cell r="B554">
            <v>53.349805000000003</v>
          </cell>
          <cell r="C554">
            <v>-6.2603099999999996</v>
          </cell>
          <cell r="D554">
            <v>2012</v>
          </cell>
          <cell r="E554" t="str">
            <v>Republic of Ireland</v>
          </cell>
          <cell r="F554" t="str">
            <v>Wildtype</v>
          </cell>
          <cell r="G554" t="str">
            <v>MAT1-1</v>
          </cell>
          <cell r="H554" t="str">
            <v>Clinical</v>
          </cell>
          <cell r="I554" t="str">
            <v>Wildtype</v>
          </cell>
          <cell r="J554">
            <v>0.03</v>
          </cell>
          <cell r="K554">
            <v>3</v>
          </cell>
        </row>
        <row r="555">
          <cell r="A555" t="str">
            <v>C600</v>
          </cell>
          <cell r="B555">
            <v>40.417299999999997</v>
          </cell>
          <cell r="C555">
            <v>-82.9071</v>
          </cell>
          <cell r="D555">
            <v>2015</v>
          </cell>
          <cell r="E555" t="str">
            <v>USA</v>
          </cell>
          <cell r="F555" t="str">
            <v>Wildtype</v>
          </cell>
          <cell r="G555">
            <v>0</v>
          </cell>
          <cell r="H555" t="str">
            <v>Clinical</v>
          </cell>
          <cell r="I555" t="str">
            <v>Wildtype</v>
          </cell>
          <cell r="K555">
            <v>4</v>
          </cell>
        </row>
        <row r="556">
          <cell r="A556" t="str">
            <v>C601</v>
          </cell>
          <cell r="B556">
            <v>39.5501</v>
          </cell>
          <cell r="C556">
            <v>-105.7821</v>
          </cell>
          <cell r="D556">
            <v>2016</v>
          </cell>
          <cell r="E556" t="str">
            <v>USA</v>
          </cell>
          <cell r="F556" t="str">
            <v>Wildtype</v>
          </cell>
          <cell r="G556">
            <v>0</v>
          </cell>
          <cell r="H556" t="str">
            <v>Clinical</v>
          </cell>
          <cell r="I556" t="str">
            <v>Wildtype</v>
          </cell>
          <cell r="K556">
            <v>4</v>
          </cell>
        </row>
        <row r="557">
          <cell r="A557" t="str">
            <v>C602</v>
          </cell>
          <cell r="B557">
            <v>40.267200000000003</v>
          </cell>
          <cell r="C557">
            <v>-86.134900000000002</v>
          </cell>
          <cell r="D557">
            <v>2016</v>
          </cell>
          <cell r="E557" t="str">
            <v>USA</v>
          </cell>
          <cell r="F557" t="str">
            <v>Wildtype</v>
          </cell>
          <cell r="G557">
            <v>0</v>
          </cell>
          <cell r="H557" t="str">
            <v>Clinical</v>
          </cell>
          <cell r="I557" t="str">
            <v>Wildtype</v>
          </cell>
          <cell r="K557">
            <v>4</v>
          </cell>
        </row>
        <row r="558">
          <cell r="A558" t="str">
            <v>C603</v>
          </cell>
          <cell r="B558">
            <v>40.267200000000003</v>
          </cell>
          <cell r="C558">
            <v>-86.134900000000002</v>
          </cell>
          <cell r="D558">
            <v>2016</v>
          </cell>
          <cell r="E558" t="str">
            <v>USA</v>
          </cell>
          <cell r="F558" t="str">
            <v>Wildtype</v>
          </cell>
          <cell r="G558">
            <v>0</v>
          </cell>
          <cell r="H558" t="str">
            <v>Clinical</v>
          </cell>
          <cell r="I558" t="str">
            <v>Wildtype</v>
          </cell>
          <cell r="K558">
            <v>4</v>
          </cell>
        </row>
        <row r="559">
          <cell r="A559" t="str">
            <v>C604</v>
          </cell>
          <cell r="B559">
            <v>32.165599999999998</v>
          </cell>
          <cell r="C559">
            <v>-82.900099999999995</v>
          </cell>
          <cell r="D559">
            <v>2016</v>
          </cell>
          <cell r="E559" t="str">
            <v>USA</v>
          </cell>
          <cell r="F559" t="str">
            <v>Wildtype</v>
          </cell>
          <cell r="G559">
            <v>0</v>
          </cell>
          <cell r="H559" t="str">
            <v>Clinical</v>
          </cell>
          <cell r="I559" t="str">
            <v>Wildtype</v>
          </cell>
          <cell r="K559">
            <v>4</v>
          </cell>
        </row>
        <row r="560">
          <cell r="A560" t="str">
            <v>C605</v>
          </cell>
          <cell r="B560">
            <v>38.907200000000003</v>
          </cell>
          <cell r="C560">
            <v>-77.036900000000003</v>
          </cell>
          <cell r="D560">
            <v>2016</v>
          </cell>
          <cell r="E560" t="str">
            <v>USA</v>
          </cell>
          <cell r="F560" t="str">
            <v>Wildtype</v>
          </cell>
          <cell r="G560">
            <v>0</v>
          </cell>
          <cell r="H560" t="str">
            <v>Clinical</v>
          </cell>
          <cell r="I560" t="str">
            <v>Wildtype</v>
          </cell>
          <cell r="K560">
            <v>5</v>
          </cell>
        </row>
        <row r="561">
          <cell r="A561" t="str">
            <v>C606</v>
          </cell>
          <cell r="B561">
            <v>27.6648</v>
          </cell>
          <cell r="C561">
            <v>-81.515799999999999</v>
          </cell>
          <cell r="D561">
            <v>2016</v>
          </cell>
          <cell r="E561" t="str">
            <v>USA</v>
          </cell>
          <cell r="F561" t="str">
            <v>Wildtype</v>
          </cell>
          <cell r="G561">
            <v>0</v>
          </cell>
          <cell r="H561" t="str">
            <v>Clinical</v>
          </cell>
          <cell r="I561" t="str">
            <v>Wildtype</v>
          </cell>
          <cell r="K561">
            <v>5</v>
          </cell>
        </row>
        <row r="562">
          <cell r="A562" t="str">
            <v>C607</v>
          </cell>
          <cell r="B562">
            <v>37.964300000000001</v>
          </cell>
          <cell r="C562">
            <v>-91.831800000000001</v>
          </cell>
          <cell r="D562">
            <v>2016</v>
          </cell>
          <cell r="E562" t="str">
            <v>USA</v>
          </cell>
          <cell r="F562" t="str">
            <v>Wildtype</v>
          </cell>
          <cell r="G562">
            <v>0</v>
          </cell>
          <cell r="H562" t="str">
            <v>Clinical</v>
          </cell>
          <cell r="I562" t="str">
            <v>Wildtype</v>
          </cell>
          <cell r="K562">
            <v>4</v>
          </cell>
        </row>
        <row r="563">
          <cell r="A563" t="str">
            <v>C608</v>
          </cell>
          <cell r="B563">
            <v>27.6648</v>
          </cell>
          <cell r="C563">
            <v>-81.515799999999999</v>
          </cell>
          <cell r="D563">
            <v>2016</v>
          </cell>
          <cell r="E563" t="str">
            <v>USA</v>
          </cell>
          <cell r="F563" t="str">
            <v>Wildtype</v>
          </cell>
          <cell r="G563">
            <v>0</v>
          </cell>
          <cell r="H563" t="str">
            <v>Clinical</v>
          </cell>
          <cell r="I563" t="str">
            <v>Wildtype</v>
          </cell>
          <cell r="K563">
            <v>5</v>
          </cell>
        </row>
        <row r="564">
          <cell r="A564" t="str">
            <v>C609</v>
          </cell>
          <cell r="B564">
            <v>36.778300000000002</v>
          </cell>
          <cell r="C564">
            <v>-119.4179</v>
          </cell>
          <cell r="D564">
            <v>2016</v>
          </cell>
          <cell r="E564" t="str">
            <v>USA</v>
          </cell>
          <cell r="F564" t="str">
            <v>Wildtype</v>
          </cell>
          <cell r="G564">
            <v>0</v>
          </cell>
          <cell r="H564" t="str">
            <v>Clinical</v>
          </cell>
          <cell r="I564" t="str">
            <v>Wildtype</v>
          </cell>
          <cell r="K564">
            <v>4</v>
          </cell>
        </row>
        <row r="565">
          <cell r="A565" t="str">
            <v>C61</v>
          </cell>
          <cell r="B565">
            <v>53.349805000000003</v>
          </cell>
          <cell r="C565">
            <v>-6.2603099999999996</v>
          </cell>
          <cell r="D565">
            <v>2013</v>
          </cell>
          <cell r="E565" t="str">
            <v>Republic of Ireland</v>
          </cell>
          <cell r="F565" t="str">
            <v>Wildtype</v>
          </cell>
          <cell r="G565" t="str">
            <v>MAT1-1</v>
          </cell>
          <cell r="H565" t="str">
            <v>Clinical</v>
          </cell>
          <cell r="I565" t="str">
            <v>Wildtype</v>
          </cell>
          <cell r="J565">
            <v>0.25</v>
          </cell>
          <cell r="K565">
            <v>3</v>
          </cell>
        </row>
        <row r="566">
          <cell r="A566" t="str">
            <v>C610</v>
          </cell>
          <cell r="B566">
            <v>31.968599999999999</v>
          </cell>
          <cell r="C566">
            <v>-99.901799999999994</v>
          </cell>
          <cell r="D566">
            <v>2015</v>
          </cell>
          <cell r="E566" t="str">
            <v>USA</v>
          </cell>
          <cell r="F566" t="str">
            <v>Wildtype</v>
          </cell>
          <cell r="G566">
            <v>0</v>
          </cell>
          <cell r="H566" t="str">
            <v>Clinical</v>
          </cell>
          <cell r="I566" t="str">
            <v>Wildtype</v>
          </cell>
          <cell r="K566">
            <v>4</v>
          </cell>
        </row>
        <row r="567">
          <cell r="A567" t="str">
            <v>C611</v>
          </cell>
          <cell r="B567">
            <v>53.339300000000001</v>
          </cell>
          <cell r="C567">
            <v>6.2965</v>
          </cell>
          <cell r="D567">
            <v>2021</v>
          </cell>
          <cell r="E567" t="str">
            <v>UK</v>
          </cell>
          <cell r="F567" t="str">
            <v>Wildtype</v>
          </cell>
          <cell r="G567">
            <v>0</v>
          </cell>
          <cell r="H567" t="str">
            <v>Environmental</v>
          </cell>
          <cell r="I567" t="str">
            <v>Wildtype</v>
          </cell>
          <cell r="K567">
            <v>5</v>
          </cell>
        </row>
        <row r="568">
          <cell r="A568" t="str">
            <v>C612</v>
          </cell>
          <cell r="B568">
            <v>53.339300000000001</v>
          </cell>
          <cell r="C568">
            <v>6.2965</v>
          </cell>
          <cell r="D568">
            <v>2021</v>
          </cell>
          <cell r="E568" t="str">
            <v>UK</v>
          </cell>
          <cell r="F568" t="str">
            <v>Wildtype</v>
          </cell>
          <cell r="G568">
            <v>0</v>
          </cell>
          <cell r="H568" t="str">
            <v>Environmental</v>
          </cell>
          <cell r="I568" t="str">
            <v>Wildtype</v>
          </cell>
          <cell r="K568">
            <v>4</v>
          </cell>
        </row>
        <row r="569">
          <cell r="A569" t="str">
            <v>C62</v>
          </cell>
          <cell r="B569">
            <v>53.349805000000003</v>
          </cell>
          <cell r="C569">
            <v>-6.2603099999999996</v>
          </cell>
          <cell r="D569">
            <v>2013</v>
          </cell>
          <cell r="E569" t="str">
            <v>Republic of Ireland</v>
          </cell>
          <cell r="F569" t="str">
            <v>Wildtype</v>
          </cell>
          <cell r="G569" t="str">
            <v>MAT1-1</v>
          </cell>
          <cell r="H569" t="str">
            <v>Clinical</v>
          </cell>
          <cell r="I569" t="str">
            <v>Wildtype</v>
          </cell>
          <cell r="J569">
            <v>0.12</v>
          </cell>
          <cell r="K569">
            <v>3</v>
          </cell>
        </row>
        <row r="570">
          <cell r="A570" t="str">
            <v>C63</v>
          </cell>
          <cell r="B570">
            <v>53.349805000000003</v>
          </cell>
          <cell r="C570">
            <v>-6.2603099999999996</v>
          </cell>
          <cell r="D570">
            <v>2013</v>
          </cell>
          <cell r="E570" t="str">
            <v>Republic of Ireland</v>
          </cell>
          <cell r="F570" t="str">
            <v>Wildtype</v>
          </cell>
          <cell r="G570" t="str">
            <v>MAT1-1</v>
          </cell>
          <cell r="H570" t="str">
            <v>Clinical</v>
          </cell>
          <cell r="I570" t="str">
            <v>Wildtype</v>
          </cell>
          <cell r="J570">
            <v>0.03</v>
          </cell>
          <cell r="K570">
            <v>3</v>
          </cell>
        </row>
        <row r="571">
          <cell r="A571" t="str">
            <v>C64</v>
          </cell>
          <cell r="B571">
            <v>53.349805000000003</v>
          </cell>
          <cell r="C571">
            <v>-6.2603099999999996</v>
          </cell>
          <cell r="D571">
            <v>2013</v>
          </cell>
          <cell r="E571" t="str">
            <v>Republic of Ireland</v>
          </cell>
          <cell r="F571" t="str">
            <v>Wildtype</v>
          </cell>
          <cell r="G571" t="str">
            <v>MAT1-1</v>
          </cell>
          <cell r="H571" t="str">
            <v>Clinical</v>
          </cell>
          <cell r="I571" t="str">
            <v>Wildtype</v>
          </cell>
          <cell r="J571">
            <v>0.03</v>
          </cell>
          <cell r="K571">
            <v>3</v>
          </cell>
        </row>
        <row r="572">
          <cell r="A572" t="str">
            <v>C65</v>
          </cell>
          <cell r="B572">
            <v>53.349805000000003</v>
          </cell>
          <cell r="C572">
            <v>-6.2603099999999996</v>
          </cell>
          <cell r="D572">
            <v>2013</v>
          </cell>
          <cell r="E572" t="str">
            <v>Republic of Ireland</v>
          </cell>
          <cell r="F572" t="str">
            <v>Wildtype</v>
          </cell>
          <cell r="G572" t="str">
            <v>MAT1-1</v>
          </cell>
          <cell r="H572" t="str">
            <v>Clinical</v>
          </cell>
          <cell r="I572" t="str">
            <v>Wildtype</v>
          </cell>
          <cell r="J572">
            <v>0.03</v>
          </cell>
          <cell r="K572">
            <v>3</v>
          </cell>
        </row>
        <row r="573">
          <cell r="A573" t="str">
            <v>C66</v>
          </cell>
          <cell r="B573">
            <v>53.349805000000003</v>
          </cell>
          <cell r="C573">
            <v>-6.2603099999999996</v>
          </cell>
          <cell r="D573">
            <v>2013</v>
          </cell>
          <cell r="E573" t="str">
            <v>Republic of Ireland</v>
          </cell>
          <cell r="F573" t="str">
            <v>Wildtype</v>
          </cell>
          <cell r="G573" t="str">
            <v>MAT1-1</v>
          </cell>
          <cell r="H573" t="str">
            <v>Clinical</v>
          </cell>
          <cell r="I573" t="str">
            <v>Wildtype</v>
          </cell>
          <cell r="J573">
            <v>0.25</v>
          </cell>
          <cell r="K573">
            <v>3</v>
          </cell>
        </row>
        <row r="574">
          <cell r="A574" t="str">
            <v>C67</v>
          </cell>
          <cell r="B574">
            <v>53.349805000000003</v>
          </cell>
          <cell r="C574">
            <v>-6.2603099999999996</v>
          </cell>
          <cell r="D574">
            <v>2010</v>
          </cell>
          <cell r="E574" t="str">
            <v>Republic of Ireland</v>
          </cell>
          <cell r="F574" t="str">
            <v>Wildtype</v>
          </cell>
          <cell r="G574" t="str">
            <v>MAT1-1</v>
          </cell>
          <cell r="H574" t="str">
            <v>Clinical</v>
          </cell>
          <cell r="I574" t="str">
            <v>Wildtype</v>
          </cell>
          <cell r="J574">
            <v>0.03</v>
          </cell>
          <cell r="K574">
            <v>3</v>
          </cell>
        </row>
        <row r="575">
          <cell r="A575" t="str">
            <v>C68</v>
          </cell>
          <cell r="B575">
            <v>53.349805000000003</v>
          </cell>
          <cell r="C575">
            <v>-6.2603099999999996</v>
          </cell>
          <cell r="D575">
            <v>2010</v>
          </cell>
          <cell r="E575" t="str">
            <v>Republic of Ireland</v>
          </cell>
          <cell r="F575" t="str">
            <v>Wildtype</v>
          </cell>
          <cell r="G575" t="str">
            <v>MAT1-1</v>
          </cell>
          <cell r="H575" t="str">
            <v>Clinical</v>
          </cell>
          <cell r="I575" t="str">
            <v>Wildtype</v>
          </cell>
          <cell r="J575">
            <v>0.03</v>
          </cell>
          <cell r="K575">
            <v>3</v>
          </cell>
        </row>
        <row r="576">
          <cell r="A576" t="str">
            <v>C69</v>
          </cell>
          <cell r="B576">
            <v>53.349805000000003</v>
          </cell>
          <cell r="C576">
            <v>-6.2603099999999996</v>
          </cell>
          <cell r="D576">
            <v>2013</v>
          </cell>
          <cell r="E576" t="str">
            <v>Republic of Ireland</v>
          </cell>
          <cell r="F576" t="str">
            <v>TR34/L98H</v>
          </cell>
          <cell r="G576" t="str">
            <v>MAT1-2</v>
          </cell>
          <cell r="H576" t="str">
            <v>Clinical</v>
          </cell>
          <cell r="I576" t="str">
            <v>Wildtype</v>
          </cell>
          <cell r="J576">
            <v>0.25</v>
          </cell>
          <cell r="K576">
            <v>2</v>
          </cell>
        </row>
        <row r="577">
          <cell r="A577" t="str">
            <v>C7</v>
          </cell>
          <cell r="B577">
            <v>52.132632999999998</v>
          </cell>
          <cell r="C577">
            <v>5.2912660000000002</v>
          </cell>
          <cell r="D577">
            <v>2003</v>
          </cell>
          <cell r="E577" t="str">
            <v>Netherlands</v>
          </cell>
          <cell r="F577" t="str">
            <v>TR34/L98H</v>
          </cell>
          <cell r="G577" t="str">
            <v>MAT1-1</v>
          </cell>
          <cell r="H577" t="str">
            <v>Clinical</v>
          </cell>
          <cell r="I577" t="str">
            <v>F219Y</v>
          </cell>
          <cell r="J577" t="str">
            <v>&gt;16</v>
          </cell>
          <cell r="K577">
            <v>3</v>
          </cell>
        </row>
        <row r="578">
          <cell r="A578" t="str">
            <v>C70</v>
          </cell>
          <cell r="B578">
            <v>53.349805000000003</v>
          </cell>
          <cell r="C578">
            <v>-6.2603099999999996</v>
          </cell>
          <cell r="E578" t="str">
            <v>Republic of Ireland</v>
          </cell>
          <cell r="F578" t="str">
            <v>TR34/L98H</v>
          </cell>
          <cell r="G578" t="str">
            <v>MAT1-2</v>
          </cell>
          <cell r="H578" t="str">
            <v>Clinical</v>
          </cell>
          <cell r="I578" t="str">
            <v>Wildtype</v>
          </cell>
          <cell r="J578">
            <v>1</v>
          </cell>
          <cell r="K578">
            <v>2</v>
          </cell>
        </row>
        <row r="579">
          <cell r="A579" t="str">
            <v>C71</v>
          </cell>
          <cell r="B579">
            <v>53.349805000000003</v>
          </cell>
          <cell r="C579">
            <v>-6.2603099999999996</v>
          </cell>
          <cell r="E579" t="str">
            <v>Republic of Ireland</v>
          </cell>
          <cell r="F579" t="str">
            <v>TR34/L98H</v>
          </cell>
          <cell r="G579" t="str">
            <v>MAT1-2</v>
          </cell>
          <cell r="H579" t="str">
            <v>Clinical</v>
          </cell>
          <cell r="I579" t="str">
            <v>Wildtype</v>
          </cell>
          <cell r="J579">
            <v>1</v>
          </cell>
          <cell r="K579">
            <v>2</v>
          </cell>
        </row>
        <row r="580">
          <cell r="A580" t="str">
            <v>C72</v>
          </cell>
          <cell r="B580">
            <v>53.349805000000003</v>
          </cell>
          <cell r="C580">
            <v>-6.2603099999999996</v>
          </cell>
          <cell r="D580">
            <v>2011</v>
          </cell>
          <cell r="E580" t="str">
            <v>Republic of Ireland</v>
          </cell>
          <cell r="F580" t="str">
            <v>Wildtype</v>
          </cell>
          <cell r="G580" t="str">
            <v>MAT1-1</v>
          </cell>
          <cell r="H580" t="str">
            <v>Clinical</v>
          </cell>
          <cell r="I580" t="str">
            <v>Wildtype</v>
          </cell>
          <cell r="J580">
            <v>0.12</v>
          </cell>
          <cell r="K580">
            <v>5</v>
          </cell>
        </row>
        <row r="581">
          <cell r="A581" t="str">
            <v>C73</v>
          </cell>
          <cell r="B581">
            <v>53.349805000000003</v>
          </cell>
          <cell r="C581">
            <v>-6.2603099999999996</v>
          </cell>
          <cell r="D581">
            <v>2011</v>
          </cell>
          <cell r="E581" t="str">
            <v>Republic of Ireland</v>
          </cell>
          <cell r="F581" t="str">
            <v>Wildtype</v>
          </cell>
          <cell r="G581" t="str">
            <v>MAT1-1</v>
          </cell>
          <cell r="H581" t="str">
            <v>Clinical</v>
          </cell>
          <cell r="I581" t="str">
            <v>Wildtype</v>
          </cell>
          <cell r="J581">
            <v>0.03</v>
          </cell>
          <cell r="K581">
            <v>5</v>
          </cell>
        </row>
        <row r="582">
          <cell r="A582" t="str">
            <v>C74</v>
          </cell>
          <cell r="B582">
            <v>53.349805000000003</v>
          </cell>
          <cell r="C582">
            <v>-6.2603099999999996</v>
          </cell>
          <cell r="D582">
            <v>2011</v>
          </cell>
          <cell r="E582" t="str">
            <v>Republic of Ireland</v>
          </cell>
          <cell r="F582" t="str">
            <v>Wildtype</v>
          </cell>
          <cell r="G582" t="str">
            <v>MAT1-2</v>
          </cell>
          <cell r="H582" t="str">
            <v>Clinical</v>
          </cell>
          <cell r="I582" t="str">
            <v>Wildtype</v>
          </cell>
          <cell r="J582">
            <v>0.03</v>
          </cell>
          <cell r="K582">
            <v>5</v>
          </cell>
        </row>
        <row r="583">
          <cell r="A583" t="str">
            <v>C75</v>
          </cell>
          <cell r="B583">
            <v>53.349805000000003</v>
          </cell>
          <cell r="C583">
            <v>-6.2603099999999996</v>
          </cell>
          <cell r="D583">
            <v>2011</v>
          </cell>
          <cell r="E583" t="str">
            <v>Republic of Ireland</v>
          </cell>
          <cell r="F583" t="str">
            <v>Wildtype</v>
          </cell>
          <cell r="G583" t="str">
            <v>MAT1-2</v>
          </cell>
          <cell r="H583" t="str">
            <v>Clinical</v>
          </cell>
          <cell r="I583" t="str">
            <v>Wildtype</v>
          </cell>
          <cell r="J583">
            <v>0.03</v>
          </cell>
          <cell r="K583">
            <v>5</v>
          </cell>
        </row>
        <row r="584">
          <cell r="A584" t="str">
            <v>C76</v>
          </cell>
          <cell r="B584">
            <v>53.349805000000003</v>
          </cell>
          <cell r="C584">
            <v>-6.2603099999999996</v>
          </cell>
          <cell r="E584" t="str">
            <v>Republic of Ireland</v>
          </cell>
          <cell r="F584" t="str">
            <v>Wildtype</v>
          </cell>
          <cell r="G584" t="str">
            <v>MAT1-1</v>
          </cell>
          <cell r="H584" t="str">
            <v>Clinical</v>
          </cell>
          <cell r="I584" t="str">
            <v>Wildtype</v>
          </cell>
          <cell r="J584">
            <v>0.25</v>
          </cell>
          <cell r="K584">
            <v>3</v>
          </cell>
        </row>
        <row r="585">
          <cell r="A585" t="str">
            <v>C77</v>
          </cell>
          <cell r="B585">
            <v>53.349805000000003</v>
          </cell>
          <cell r="C585">
            <v>-6.2603099999999996</v>
          </cell>
          <cell r="D585">
            <v>2015</v>
          </cell>
          <cell r="E585" t="str">
            <v>Republic of Ireland</v>
          </cell>
          <cell r="F585" t="str">
            <v>Wildtype</v>
          </cell>
          <cell r="G585" t="str">
            <v>MAT1-1</v>
          </cell>
          <cell r="H585" t="str">
            <v>Clinical</v>
          </cell>
          <cell r="I585" t="str">
            <v>Wildtype</v>
          </cell>
          <cell r="J585">
            <v>0.25</v>
          </cell>
          <cell r="K585">
            <v>4</v>
          </cell>
        </row>
        <row r="586">
          <cell r="A586" t="str">
            <v>C78</v>
          </cell>
          <cell r="B586">
            <v>53.349805000000003</v>
          </cell>
          <cell r="C586">
            <v>-6.2603099999999996</v>
          </cell>
          <cell r="D586">
            <v>2015</v>
          </cell>
          <cell r="E586" t="str">
            <v>Republic of Ireland</v>
          </cell>
          <cell r="F586" t="str">
            <v>TR34/L98H</v>
          </cell>
          <cell r="G586" t="str">
            <v>MAT1-2</v>
          </cell>
          <cell r="H586" t="str">
            <v>Clinical</v>
          </cell>
          <cell r="I586" t="str">
            <v>Wildtype</v>
          </cell>
          <cell r="J586">
            <v>4</v>
          </cell>
          <cell r="K586">
            <v>3</v>
          </cell>
        </row>
        <row r="587">
          <cell r="A587" t="str">
            <v>C79</v>
          </cell>
          <cell r="B587">
            <v>53.349805000000003</v>
          </cell>
          <cell r="C587">
            <v>-6.2603099999999996</v>
          </cell>
          <cell r="D587">
            <v>2015</v>
          </cell>
          <cell r="E587" t="str">
            <v>Republic of Ireland</v>
          </cell>
          <cell r="F587" t="str">
            <v>TR34/L98H</v>
          </cell>
          <cell r="G587" t="str">
            <v>MAT1-2</v>
          </cell>
          <cell r="H587" t="str">
            <v>Clinical</v>
          </cell>
          <cell r="I587" t="str">
            <v>Wildtype</v>
          </cell>
          <cell r="K587">
            <v>2</v>
          </cell>
        </row>
        <row r="588">
          <cell r="A588" t="str">
            <v>C8</v>
          </cell>
          <cell r="B588">
            <v>52.132632999999998</v>
          </cell>
          <cell r="C588">
            <v>5.2912660000000002</v>
          </cell>
          <cell r="D588">
            <v>2005</v>
          </cell>
          <cell r="E588" t="str">
            <v>Netherlands</v>
          </cell>
          <cell r="F588" t="str">
            <v>TR34/L98H</v>
          </cell>
          <cell r="G588" t="str">
            <v>MAT1-2</v>
          </cell>
          <cell r="H588" t="str">
            <v>Clinical</v>
          </cell>
          <cell r="I588" t="str">
            <v>F219Y</v>
          </cell>
          <cell r="J588" t="str">
            <v>&gt;16</v>
          </cell>
          <cell r="K588">
            <v>3</v>
          </cell>
        </row>
        <row r="589">
          <cell r="A589" t="str">
            <v>C80</v>
          </cell>
          <cell r="B589">
            <v>53.349805000000003</v>
          </cell>
          <cell r="C589">
            <v>-6.2603099999999996</v>
          </cell>
          <cell r="D589">
            <v>2015</v>
          </cell>
          <cell r="E589" t="str">
            <v>Republic of Ireland</v>
          </cell>
          <cell r="F589" t="str">
            <v>TR34/L98H</v>
          </cell>
          <cell r="G589" t="str">
            <v>MAT1-2</v>
          </cell>
          <cell r="H589" t="str">
            <v>Clinical</v>
          </cell>
          <cell r="I589" t="str">
            <v>Wildtype</v>
          </cell>
          <cell r="J589">
            <v>4</v>
          </cell>
          <cell r="K589">
            <v>2</v>
          </cell>
        </row>
        <row r="590">
          <cell r="A590" t="str">
            <v>C81</v>
          </cell>
          <cell r="B590">
            <v>55.598675999999998</v>
          </cell>
          <cell r="C590">
            <v>-2.7219099999999998</v>
          </cell>
          <cell r="D590">
            <v>2013</v>
          </cell>
          <cell r="E590" t="str">
            <v>UK</v>
          </cell>
          <cell r="F590" t="str">
            <v>TR34/L98H</v>
          </cell>
          <cell r="G590" t="str">
            <v>MAT1-1</v>
          </cell>
          <cell r="H590" t="str">
            <v>Clinical</v>
          </cell>
          <cell r="I590" t="str">
            <v>F219Y</v>
          </cell>
          <cell r="J590">
            <v>2</v>
          </cell>
          <cell r="K590">
            <v>3</v>
          </cell>
        </row>
        <row r="591">
          <cell r="A591" t="str">
            <v>C82</v>
          </cell>
          <cell r="B591">
            <v>50.82253</v>
          </cell>
          <cell r="C591">
            <v>-0.13716300000000001</v>
          </cell>
          <cell r="D591">
            <v>2014</v>
          </cell>
          <cell r="E591" t="str">
            <v>UK</v>
          </cell>
          <cell r="F591" t="str">
            <v>TR34/L98H</v>
          </cell>
          <cell r="G591" t="str">
            <v>MAT1-2</v>
          </cell>
          <cell r="H591" t="str">
            <v>Clinical</v>
          </cell>
          <cell r="I591" t="str">
            <v>Wildtype</v>
          </cell>
          <cell r="J591">
            <v>16</v>
          </cell>
          <cell r="K591">
            <v>2</v>
          </cell>
        </row>
        <row r="592">
          <cell r="A592" t="str">
            <v>C84</v>
          </cell>
          <cell r="B592">
            <v>36.778261000000001</v>
          </cell>
          <cell r="C592">
            <v>-119.41793199999999</v>
          </cell>
          <cell r="D592">
            <v>1997</v>
          </cell>
          <cell r="E592" t="str">
            <v>USA</v>
          </cell>
          <cell r="F592" t="str">
            <v>G54E</v>
          </cell>
          <cell r="G592" t="str">
            <v>MAT1-2</v>
          </cell>
          <cell r="H592" t="str">
            <v>Clinical</v>
          </cell>
          <cell r="I592" t="str">
            <v>Wildtype</v>
          </cell>
          <cell r="K592">
            <v>5</v>
          </cell>
        </row>
        <row r="593">
          <cell r="A593" t="str">
            <v>C85</v>
          </cell>
          <cell r="B593">
            <v>51.507351</v>
          </cell>
          <cell r="C593">
            <v>-0.12775800000000001</v>
          </cell>
          <cell r="D593">
            <v>2015</v>
          </cell>
          <cell r="E593" t="str">
            <v>UK</v>
          </cell>
          <cell r="F593" t="str">
            <v>TR34/L98H</v>
          </cell>
          <cell r="G593" t="str">
            <v>MAT1-2</v>
          </cell>
          <cell r="H593" t="str">
            <v>Clinical</v>
          </cell>
          <cell r="I593" t="str">
            <v>Wildtype</v>
          </cell>
          <cell r="J593">
            <v>1</v>
          </cell>
          <cell r="K593">
            <v>2</v>
          </cell>
        </row>
        <row r="594">
          <cell r="A594" t="str">
            <v>C86</v>
          </cell>
          <cell r="B594">
            <v>55.953251999999999</v>
          </cell>
          <cell r="C594">
            <v>-3.1882670000000002</v>
          </cell>
          <cell r="D594">
            <v>2015</v>
          </cell>
          <cell r="E594" t="str">
            <v>UK</v>
          </cell>
          <cell r="F594" t="str">
            <v>TR34/L98H</v>
          </cell>
          <cell r="G594" t="str">
            <v>MAT1-1</v>
          </cell>
          <cell r="H594" t="str">
            <v>Clinical</v>
          </cell>
          <cell r="I594" t="str">
            <v>Wildtype</v>
          </cell>
          <cell r="J594" t="str">
            <v>&gt;16</v>
          </cell>
          <cell r="K594">
            <v>3</v>
          </cell>
        </row>
        <row r="595">
          <cell r="A595" t="str">
            <v>C87</v>
          </cell>
          <cell r="B595">
            <v>55.953251999999999</v>
          </cell>
          <cell r="C595">
            <v>-3.1882670000000002</v>
          </cell>
          <cell r="D595">
            <v>2015</v>
          </cell>
          <cell r="E595" t="str">
            <v>UK</v>
          </cell>
          <cell r="F595" t="str">
            <v>TR34/L98H</v>
          </cell>
          <cell r="G595" t="str">
            <v>MAT1-2</v>
          </cell>
          <cell r="H595" t="str">
            <v>Clinical</v>
          </cell>
          <cell r="I595" t="str">
            <v>Wildtype</v>
          </cell>
          <cell r="J595" t="str">
            <v>&gt;16</v>
          </cell>
          <cell r="K595">
            <v>3</v>
          </cell>
        </row>
        <row r="596">
          <cell r="A596" t="str">
            <v>C88</v>
          </cell>
          <cell r="B596">
            <v>51.507351</v>
          </cell>
          <cell r="C596">
            <v>-0.12775800000000001</v>
          </cell>
          <cell r="D596">
            <v>2014</v>
          </cell>
          <cell r="E596" t="str">
            <v>UK</v>
          </cell>
          <cell r="F596" t="str">
            <v>TR34/L98H</v>
          </cell>
          <cell r="G596" t="str">
            <v>MAT1-2</v>
          </cell>
          <cell r="H596" t="str">
            <v>Clinical</v>
          </cell>
          <cell r="I596" t="str">
            <v>F219Y</v>
          </cell>
          <cell r="J596">
            <v>2</v>
          </cell>
          <cell r="K596">
            <v>3</v>
          </cell>
        </row>
        <row r="597">
          <cell r="A597" t="str">
            <v>C89</v>
          </cell>
          <cell r="B597">
            <v>51.507351</v>
          </cell>
          <cell r="C597">
            <v>-0.12775800000000001</v>
          </cell>
          <cell r="D597">
            <v>2015</v>
          </cell>
          <cell r="E597" t="str">
            <v>UK</v>
          </cell>
          <cell r="F597" t="str">
            <v>TR34/L98H</v>
          </cell>
          <cell r="G597" t="str">
            <v>MAT1-2</v>
          </cell>
          <cell r="H597" t="str">
            <v>Clinical</v>
          </cell>
          <cell r="I597" t="str">
            <v>Wildtype</v>
          </cell>
          <cell r="J597">
            <v>1</v>
          </cell>
          <cell r="K597">
            <v>3</v>
          </cell>
        </row>
        <row r="598">
          <cell r="A598" t="str">
            <v>C9</v>
          </cell>
          <cell r="B598">
            <v>52.132632999999998</v>
          </cell>
          <cell r="C598">
            <v>5.2912660000000002</v>
          </cell>
          <cell r="D598">
            <v>2004</v>
          </cell>
          <cell r="E598" t="str">
            <v>Netherlands</v>
          </cell>
          <cell r="F598" t="str">
            <v>TR34/L98H</v>
          </cell>
          <cell r="G598" t="str">
            <v>MAT1-1</v>
          </cell>
          <cell r="H598" t="str">
            <v>Clinical</v>
          </cell>
          <cell r="I598" t="str">
            <v>F219Y</v>
          </cell>
          <cell r="J598" t="str">
            <v>&gt;16</v>
          </cell>
          <cell r="K598">
            <v>3</v>
          </cell>
        </row>
        <row r="599">
          <cell r="A599" t="str">
            <v>C90</v>
          </cell>
          <cell r="B599">
            <v>52.205337</v>
          </cell>
          <cell r="C599">
            <v>0.12181699999999999</v>
          </cell>
          <cell r="D599">
            <v>2015</v>
          </cell>
          <cell r="E599" t="str">
            <v>UK</v>
          </cell>
          <cell r="F599" t="str">
            <v>TR34/L98H</v>
          </cell>
          <cell r="G599" t="str">
            <v>MAT1-2</v>
          </cell>
          <cell r="H599" t="str">
            <v>Clinical</v>
          </cell>
          <cell r="I599" t="str">
            <v>Wildtype</v>
          </cell>
          <cell r="J599">
            <v>16</v>
          </cell>
          <cell r="K599">
            <v>2</v>
          </cell>
        </row>
        <row r="600">
          <cell r="A600" t="str">
            <v>C91</v>
          </cell>
          <cell r="B600">
            <v>53.408371000000002</v>
          </cell>
          <cell r="C600">
            <v>-2.9915729999999998</v>
          </cell>
          <cell r="D600">
            <v>2015</v>
          </cell>
          <cell r="E600" t="str">
            <v>UK</v>
          </cell>
          <cell r="F600" t="str">
            <v>TR34/L98H</v>
          </cell>
          <cell r="G600" t="str">
            <v>MAT1-1</v>
          </cell>
          <cell r="H600" t="str">
            <v>Clinical</v>
          </cell>
          <cell r="I600" t="str">
            <v>Wildtype</v>
          </cell>
          <cell r="J600" t="str">
            <v>&gt;16</v>
          </cell>
          <cell r="K600">
            <v>2</v>
          </cell>
        </row>
        <row r="601">
          <cell r="A601" t="str">
            <v>C92</v>
          </cell>
          <cell r="B601">
            <v>51.481580999999998</v>
          </cell>
          <cell r="C601">
            <v>-3.17909</v>
          </cell>
          <cell r="D601">
            <v>2015</v>
          </cell>
          <cell r="E601" t="str">
            <v>UK</v>
          </cell>
          <cell r="F601" t="str">
            <v>TR34/L98H</v>
          </cell>
          <cell r="G601" t="str">
            <v>MAT1-2</v>
          </cell>
          <cell r="H601" t="str">
            <v>Clinical</v>
          </cell>
          <cell r="I601" t="str">
            <v>Wildtype</v>
          </cell>
          <cell r="J601" t="str">
            <v>&gt;16</v>
          </cell>
          <cell r="K601">
            <v>2</v>
          </cell>
        </row>
        <row r="602">
          <cell r="A602" t="str">
            <v>C93</v>
          </cell>
          <cell r="B602">
            <v>51.450178999999999</v>
          </cell>
          <cell r="C602">
            <v>-2.583294</v>
          </cell>
          <cell r="D602">
            <v>2016</v>
          </cell>
          <cell r="E602" t="str">
            <v>UK</v>
          </cell>
          <cell r="F602" t="str">
            <v>TR34/L98H</v>
          </cell>
          <cell r="G602" t="str">
            <v>MAT1-1</v>
          </cell>
          <cell r="H602" t="str">
            <v>Clinical</v>
          </cell>
          <cell r="I602" t="str">
            <v>Wildtype</v>
          </cell>
          <cell r="J602">
            <v>16</v>
          </cell>
          <cell r="K602">
            <v>3</v>
          </cell>
        </row>
        <row r="603">
          <cell r="A603" t="str">
            <v>C94</v>
          </cell>
          <cell r="B603">
            <v>51.518222000000002</v>
          </cell>
          <cell r="C603">
            <v>-5.8518000000000001E-2</v>
          </cell>
          <cell r="D603">
            <v>2016</v>
          </cell>
          <cell r="E603" t="str">
            <v>UK</v>
          </cell>
          <cell r="F603" t="str">
            <v>TR34/L98H</v>
          </cell>
          <cell r="G603" t="str">
            <v>MAT1-2</v>
          </cell>
          <cell r="H603" t="str">
            <v>Clinical</v>
          </cell>
          <cell r="I603" t="str">
            <v>Wildtype</v>
          </cell>
          <cell r="J603">
            <v>16</v>
          </cell>
          <cell r="K603">
            <v>2</v>
          </cell>
        </row>
        <row r="604">
          <cell r="A604" t="str">
            <v>C95</v>
          </cell>
          <cell r="B604">
            <v>51.650745999999998</v>
          </cell>
          <cell r="C604">
            <v>-0.21525900000000001</v>
          </cell>
          <cell r="D604">
            <v>2016</v>
          </cell>
          <cell r="E604" t="str">
            <v>UK</v>
          </cell>
          <cell r="F604" t="str">
            <v>Wildtype</v>
          </cell>
          <cell r="G604" t="str">
            <v>MAT1-1</v>
          </cell>
          <cell r="H604" t="str">
            <v>Clinical</v>
          </cell>
          <cell r="I604" t="str">
            <v>Wildtype</v>
          </cell>
          <cell r="K604">
            <v>4</v>
          </cell>
        </row>
        <row r="605">
          <cell r="A605" t="str">
            <v>C96</v>
          </cell>
          <cell r="B605">
            <v>55.922125000000001</v>
          </cell>
          <cell r="C605">
            <v>-3.1348349999999998</v>
          </cell>
          <cell r="D605">
            <v>2015</v>
          </cell>
          <cell r="E605" t="str">
            <v>UK</v>
          </cell>
          <cell r="F605" t="str">
            <v>TR34/L98H</v>
          </cell>
          <cell r="G605" t="str">
            <v>MAT1-1</v>
          </cell>
          <cell r="H605" t="str">
            <v>Clinical</v>
          </cell>
          <cell r="I605" t="str">
            <v>Wildtype</v>
          </cell>
          <cell r="J605" t="str">
            <v>&gt;16</v>
          </cell>
          <cell r="K605">
            <v>3</v>
          </cell>
        </row>
        <row r="606">
          <cell r="A606" t="str">
            <v>C97</v>
          </cell>
          <cell r="B606">
            <v>51.486555000000003</v>
          </cell>
          <cell r="C606">
            <v>-0.21948200000000001</v>
          </cell>
          <cell r="D606">
            <v>2017</v>
          </cell>
          <cell r="E606" t="str">
            <v>UK</v>
          </cell>
          <cell r="F606" t="str">
            <v>TR34/L98H</v>
          </cell>
          <cell r="G606" t="str">
            <v>MAT1-1</v>
          </cell>
          <cell r="H606" t="str">
            <v>Clinical</v>
          </cell>
          <cell r="I606" t="str">
            <v>Wildtype</v>
          </cell>
          <cell r="J606">
            <v>4</v>
          </cell>
          <cell r="K606">
            <v>2</v>
          </cell>
        </row>
        <row r="607">
          <cell r="A607" t="str">
            <v>C98</v>
          </cell>
          <cell r="B607">
            <v>53.381129999999999</v>
          </cell>
          <cell r="C607">
            <v>-1.4700850000000001</v>
          </cell>
          <cell r="D607">
            <v>2016</v>
          </cell>
          <cell r="E607" t="str">
            <v>UK</v>
          </cell>
          <cell r="F607" t="str">
            <v>Wildtype</v>
          </cell>
          <cell r="G607" t="e">
            <v>#N/A</v>
          </cell>
          <cell r="H607" t="str">
            <v>Clinical</v>
          </cell>
          <cell r="I607" t="str">
            <v>Wildtype</v>
          </cell>
          <cell r="J607">
            <v>1</v>
          </cell>
          <cell r="K607">
            <v>1</v>
          </cell>
        </row>
        <row r="608">
          <cell r="A608" t="str">
            <v>C99</v>
          </cell>
          <cell r="B608">
            <v>51.481580999999998</v>
          </cell>
          <cell r="C608">
            <v>-3.17909</v>
          </cell>
          <cell r="D608">
            <v>2016</v>
          </cell>
          <cell r="E608" t="str">
            <v>UK</v>
          </cell>
          <cell r="F608" t="str">
            <v>Wildtype</v>
          </cell>
          <cell r="G608" t="str">
            <v>MAT1-2</v>
          </cell>
          <cell r="H608" t="str">
            <v>Clinical</v>
          </cell>
          <cell r="I608" t="str">
            <v>Wildtype</v>
          </cell>
          <cell r="J608">
            <v>1</v>
          </cell>
          <cell r="K608">
            <v>5</v>
          </cell>
        </row>
        <row r="609">
          <cell r="A609" t="str">
            <v>E1</v>
          </cell>
          <cell r="B609">
            <v>52.132632999999998</v>
          </cell>
          <cell r="C609">
            <v>5.2912660000000002</v>
          </cell>
          <cell r="D609">
            <v>2008</v>
          </cell>
          <cell r="E609" t="str">
            <v>Netherlands</v>
          </cell>
          <cell r="F609" t="str">
            <v>TR34/L98H</v>
          </cell>
          <cell r="G609" t="str">
            <v>MAT1-1</v>
          </cell>
          <cell r="H609" t="str">
            <v>Environmental</v>
          </cell>
          <cell r="I609" t="str">
            <v>Wildtype</v>
          </cell>
          <cell r="J609" t="str">
            <v>&gt;16</v>
          </cell>
          <cell r="K609">
            <v>3</v>
          </cell>
        </row>
        <row r="610">
          <cell r="A610" t="str">
            <v>E10</v>
          </cell>
          <cell r="B610">
            <v>51.538694</v>
          </cell>
          <cell r="C610">
            <v>-3.1256949999999999</v>
          </cell>
          <cell r="D610">
            <v>2015</v>
          </cell>
          <cell r="E610" t="str">
            <v>UK</v>
          </cell>
          <cell r="F610" t="str">
            <v>TR34/L98H</v>
          </cell>
          <cell r="G610" t="str">
            <v>MAT1-2</v>
          </cell>
          <cell r="H610" t="str">
            <v>Environmental</v>
          </cell>
          <cell r="I610" t="str">
            <v>F219Y</v>
          </cell>
          <cell r="K610">
            <v>3</v>
          </cell>
        </row>
        <row r="611">
          <cell r="A611" t="str">
            <v>E100</v>
          </cell>
          <cell r="B611">
            <v>30.200678</v>
          </cell>
          <cell r="C611">
            <v>30.783840000000001</v>
          </cell>
          <cell r="D611">
            <v>2002</v>
          </cell>
          <cell r="E611" t="str">
            <v>South Africa</v>
          </cell>
          <cell r="F611" t="str">
            <v>Wildtype</v>
          </cell>
          <cell r="G611" t="str">
            <v>MAT1-2</v>
          </cell>
          <cell r="H611" t="str">
            <v>Environmental</v>
          </cell>
          <cell r="I611" t="str">
            <v>Wildtype</v>
          </cell>
          <cell r="K611">
            <v>4</v>
          </cell>
        </row>
        <row r="612">
          <cell r="A612" t="str">
            <v>E101</v>
          </cell>
          <cell r="B612">
            <v>8.5241389999999999</v>
          </cell>
          <cell r="C612">
            <v>76.936638000000002</v>
          </cell>
          <cell r="D612">
            <v>1997</v>
          </cell>
          <cell r="E612" t="str">
            <v>India</v>
          </cell>
          <cell r="F612" t="str">
            <v>Wildtype</v>
          </cell>
          <cell r="G612" t="str">
            <v>MAT1-2</v>
          </cell>
          <cell r="H612" t="str">
            <v>Environmental</v>
          </cell>
          <cell r="I612" t="str">
            <v>Wildtype</v>
          </cell>
          <cell r="K612">
            <v>4</v>
          </cell>
        </row>
        <row r="613">
          <cell r="A613" t="str">
            <v>E102</v>
          </cell>
          <cell r="B613">
            <v>27.176670000000001</v>
          </cell>
          <cell r="C613">
            <v>78.008075000000005</v>
          </cell>
          <cell r="D613">
            <v>1997</v>
          </cell>
          <cell r="E613" t="str">
            <v>India</v>
          </cell>
          <cell r="F613" t="str">
            <v>Wildtype</v>
          </cell>
          <cell r="G613" t="str">
            <v>MAT1-1</v>
          </cell>
          <cell r="H613" t="str">
            <v>Environmental</v>
          </cell>
          <cell r="I613" t="str">
            <v>Wildtype</v>
          </cell>
          <cell r="K613">
            <v>3</v>
          </cell>
        </row>
        <row r="614">
          <cell r="A614" t="str">
            <v>E103</v>
          </cell>
          <cell r="B614">
            <v>27.176670000000001</v>
          </cell>
          <cell r="C614">
            <v>78.008075000000005</v>
          </cell>
          <cell r="D614">
            <v>1997</v>
          </cell>
          <cell r="E614" t="str">
            <v>India</v>
          </cell>
          <cell r="F614" t="str">
            <v>Wildtype</v>
          </cell>
          <cell r="G614" t="str">
            <v>MAT1-2</v>
          </cell>
          <cell r="H614" t="str">
            <v>Environmental</v>
          </cell>
          <cell r="I614" t="str">
            <v>Wildtype</v>
          </cell>
          <cell r="K614">
            <v>3</v>
          </cell>
        </row>
        <row r="615">
          <cell r="A615" t="str">
            <v>E104</v>
          </cell>
          <cell r="B615">
            <v>27.176670000000001</v>
          </cell>
          <cell r="C615">
            <v>78.008075000000005</v>
          </cell>
          <cell r="D615">
            <v>1997</v>
          </cell>
          <cell r="E615" t="str">
            <v>India</v>
          </cell>
          <cell r="F615" t="str">
            <v>Wildtype</v>
          </cell>
          <cell r="G615" t="str">
            <v>MAT1-1</v>
          </cell>
          <cell r="H615" t="str">
            <v>Environmental</v>
          </cell>
          <cell r="I615" t="str">
            <v>Wildtype</v>
          </cell>
          <cell r="K615">
            <v>4</v>
          </cell>
        </row>
        <row r="616">
          <cell r="A616" t="str">
            <v>E105</v>
          </cell>
          <cell r="B616">
            <v>-31.253218</v>
          </cell>
          <cell r="C616">
            <v>146.921099</v>
          </cell>
          <cell r="D616">
            <v>1988</v>
          </cell>
          <cell r="E616" t="str">
            <v>Australia</v>
          </cell>
          <cell r="F616" t="str">
            <v>Wildtype</v>
          </cell>
          <cell r="G616" t="str">
            <v>MAT1-2</v>
          </cell>
          <cell r="H616" t="str">
            <v>Environmental</v>
          </cell>
          <cell r="I616" t="str">
            <v>Wildtype</v>
          </cell>
          <cell r="K616">
            <v>4</v>
          </cell>
        </row>
        <row r="617">
          <cell r="A617" t="str">
            <v>E106</v>
          </cell>
          <cell r="B617">
            <v>-31.253218</v>
          </cell>
          <cell r="C617">
            <v>146.921099</v>
          </cell>
          <cell r="D617">
            <v>1988</v>
          </cell>
          <cell r="E617" t="str">
            <v>Australia</v>
          </cell>
          <cell r="F617" t="str">
            <v>Wildtype</v>
          </cell>
          <cell r="G617" t="str">
            <v>MAT1-1</v>
          </cell>
          <cell r="H617" t="str">
            <v>Environmental</v>
          </cell>
          <cell r="I617" t="str">
            <v>Wildtype</v>
          </cell>
          <cell r="K617">
            <v>4</v>
          </cell>
        </row>
        <row r="618">
          <cell r="A618" t="str">
            <v>E107</v>
          </cell>
          <cell r="B618">
            <v>52.954782999999999</v>
          </cell>
          <cell r="C618">
            <v>-1.1581090000000001</v>
          </cell>
          <cell r="D618">
            <v>2012</v>
          </cell>
          <cell r="E618" t="str">
            <v>UK</v>
          </cell>
          <cell r="F618" t="str">
            <v>Wildtype</v>
          </cell>
          <cell r="G618" t="str">
            <v>MAT1-2</v>
          </cell>
          <cell r="H618" t="str">
            <v>Environmental</v>
          </cell>
          <cell r="I618" t="str">
            <v>Wildtype</v>
          </cell>
          <cell r="K618">
            <v>3</v>
          </cell>
        </row>
        <row r="619">
          <cell r="A619" t="str">
            <v>E108</v>
          </cell>
          <cell r="B619">
            <v>-33.924869000000001</v>
          </cell>
          <cell r="C619">
            <v>18.424054999999999</v>
          </cell>
          <cell r="D619">
            <v>2001</v>
          </cell>
          <cell r="E619" t="str">
            <v>South Africa</v>
          </cell>
          <cell r="F619" t="str">
            <v>Wildtype</v>
          </cell>
          <cell r="G619" t="str">
            <v>MAT1-1</v>
          </cell>
          <cell r="H619" t="str">
            <v>Environmental</v>
          </cell>
          <cell r="I619" t="str">
            <v>Wildtype</v>
          </cell>
          <cell r="K619">
            <v>3</v>
          </cell>
        </row>
        <row r="620">
          <cell r="A620" t="str">
            <v>E109</v>
          </cell>
          <cell r="B620">
            <v>-33.924869000000001</v>
          </cell>
          <cell r="C620">
            <v>18.424054999999999</v>
          </cell>
          <cell r="D620">
            <v>2001</v>
          </cell>
          <cell r="E620" t="str">
            <v>South Africa</v>
          </cell>
          <cell r="F620" t="str">
            <v>Wildtype</v>
          </cell>
          <cell r="G620" t="str">
            <v>MAT1-1</v>
          </cell>
          <cell r="H620" t="str">
            <v>Environmental</v>
          </cell>
          <cell r="I620" t="str">
            <v>Wildtype</v>
          </cell>
          <cell r="K620">
            <v>4</v>
          </cell>
        </row>
        <row r="621">
          <cell r="A621" t="str">
            <v>E11</v>
          </cell>
          <cell r="B621">
            <v>51.538694</v>
          </cell>
          <cell r="C621">
            <v>-3.1256949999999999</v>
          </cell>
          <cell r="D621">
            <v>2015</v>
          </cell>
          <cell r="E621" t="str">
            <v>UK</v>
          </cell>
          <cell r="F621" t="str">
            <v>TR34/L98H</v>
          </cell>
          <cell r="G621" t="str">
            <v>MAT1-2</v>
          </cell>
          <cell r="H621" t="str">
            <v>Environmental</v>
          </cell>
          <cell r="I621" t="str">
            <v>Wildtype</v>
          </cell>
          <cell r="K621">
            <v>2</v>
          </cell>
        </row>
        <row r="622">
          <cell r="A622" t="str">
            <v>E110</v>
          </cell>
          <cell r="B622">
            <v>-33.924869000000001</v>
          </cell>
          <cell r="C622">
            <v>18.424054999999999</v>
          </cell>
          <cell r="D622">
            <v>2001</v>
          </cell>
          <cell r="E622" t="str">
            <v>South Africa</v>
          </cell>
          <cell r="F622" t="str">
            <v>Wildtype</v>
          </cell>
          <cell r="G622" t="str">
            <v>MAT1-2</v>
          </cell>
          <cell r="H622" t="str">
            <v>Environmental</v>
          </cell>
          <cell r="I622" t="str">
            <v>Wildtype</v>
          </cell>
          <cell r="K622">
            <v>3</v>
          </cell>
        </row>
        <row r="623">
          <cell r="A623" t="str">
            <v>E111</v>
          </cell>
          <cell r="B623">
            <v>10.823098999999999</v>
          </cell>
          <cell r="C623">
            <v>106.62966400000001</v>
          </cell>
          <cell r="D623">
            <v>2002</v>
          </cell>
          <cell r="E623" t="str">
            <v>Vietnam</v>
          </cell>
          <cell r="F623" t="str">
            <v>Wildtype</v>
          </cell>
          <cell r="G623" t="str">
            <v>MAT1-1</v>
          </cell>
          <cell r="H623" t="str">
            <v>Environmental</v>
          </cell>
          <cell r="I623" t="str">
            <v>Wildtype</v>
          </cell>
          <cell r="K623">
            <v>4</v>
          </cell>
        </row>
        <row r="624">
          <cell r="A624" t="str">
            <v>E112</v>
          </cell>
          <cell r="B624">
            <v>10.823098999999999</v>
          </cell>
          <cell r="C624">
            <v>106.62966400000001</v>
          </cell>
          <cell r="D624">
            <v>2002</v>
          </cell>
          <cell r="E624" t="str">
            <v>Vietnam</v>
          </cell>
          <cell r="F624" t="str">
            <v>Wildtype</v>
          </cell>
          <cell r="G624" t="str">
            <v>MAT1-1</v>
          </cell>
          <cell r="H624" t="str">
            <v>Environmental</v>
          </cell>
          <cell r="I624" t="str">
            <v>Wildtype</v>
          </cell>
          <cell r="K624">
            <v>3</v>
          </cell>
        </row>
        <row r="625">
          <cell r="A625" t="str">
            <v>E113</v>
          </cell>
          <cell r="B625">
            <v>31.23039</v>
          </cell>
          <cell r="C625">
            <v>121.473702</v>
          </cell>
          <cell r="D625">
            <v>2004</v>
          </cell>
          <cell r="E625" t="str">
            <v>China</v>
          </cell>
          <cell r="F625" t="str">
            <v>Wildtype</v>
          </cell>
          <cell r="G625" t="str">
            <v>MAT1-1</v>
          </cell>
          <cell r="H625" t="str">
            <v>Environmental</v>
          </cell>
          <cell r="I625" t="str">
            <v>Wildtype</v>
          </cell>
          <cell r="K625">
            <v>4</v>
          </cell>
        </row>
        <row r="626">
          <cell r="A626" t="str">
            <v>E114</v>
          </cell>
          <cell r="B626">
            <v>31.23039</v>
          </cell>
          <cell r="C626">
            <v>121.473702</v>
          </cell>
          <cell r="D626">
            <v>2004</v>
          </cell>
          <cell r="E626" t="str">
            <v>China</v>
          </cell>
          <cell r="F626" t="str">
            <v>Wildtype</v>
          </cell>
          <cell r="G626" t="str">
            <v>MAT1-2</v>
          </cell>
          <cell r="H626" t="str">
            <v>Environmental</v>
          </cell>
          <cell r="I626" t="str">
            <v>Wildtype</v>
          </cell>
          <cell r="K626">
            <v>3</v>
          </cell>
        </row>
        <row r="627">
          <cell r="A627" t="str">
            <v>E115</v>
          </cell>
          <cell r="B627">
            <v>30.274083999999998</v>
          </cell>
          <cell r="C627">
            <v>120.15506999999999</v>
          </cell>
          <cell r="D627">
            <v>2004</v>
          </cell>
          <cell r="E627" t="str">
            <v>China</v>
          </cell>
          <cell r="F627" t="str">
            <v>Wildtype</v>
          </cell>
          <cell r="G627" t="str">
            <v>MAT1-2</v>
          </cell>
          <cell r="H627" t="str">
            <v>Environmental</v>
          </cell>
          <cell r="I627" t="str">
            <v>Wildtype</v>
          </cell>
          <cell r="K627">
            <v>4</v>
          </cell>
        </row>
        <row r="628">
          <cell r="A628" t="str">
            <v>E116</v>
          </cell>
          <cell r="B628">
            <v>30.274083999999998</v>
          </cell>
          <cell r="C628">
            <v>120.15506999999999</v>
          </cell>
          <cell r="D628">
            <v>2004</v>
          </cell>
          <cell r="E628" t="str">
            <v>China</v>
          </cell>
          <cell r="F628" t="str">
            <v>Wildtype</v>
          </cell>
          <cell r="G628" t="str">
            <v>MAT1-2</v>
          </cell>
          <cell r="H628" t="str">
            <v>Environmental</v>
          </cell>
          <cell r="I628" t="str">
            <v>Wildtype</v>
          </cell>
          <cell r="K628">
            <v>4</v>
          </cell>
        </row>
        <row r="629">
          <cell r="A629" t="str">
            <v>E117</v>
          </cell>
          <cell r="B629">
            <v>-15.387525999999999</v>
          </cell>
          <cell r="C629">
            <v>28.322817000000001</v>
          </cell>
          <cell r="E629" t="str">
            <v>Zambia</v>
          </cell>
          <cell r="F629" t="str">
            <v>Wildtype</v>
          </cell>
          <cell r="G629" t="str">
            <v>MAT1-2</v>
          </cell>
          <cell r="H629" t="str">
            <v>Environmental</v>
          </cell>
          <cell r="I629" t="str">
            <v>Wildtype</v>
          </cell>
          <cell r="K629">
            <v>3</v>
          </cell>
        </row>
        <row r="630">
          <cell r="A630" t="str">
            <v>E118</v>
          </cell>
          <cell r="B630">
            <v>-23.550519999999999</v>
          </cell>
          <cell r="C630">
            <v>-46.633308999999997</v>
          </cell>
          <cell r="D630">
            <v>1991</v>
          </cell>
          <cell r="E630" t="str">
            <v>Brazil</v>
          </cell>
          <cell r="F630" t="str">
            <v>Wildtype</v>
          </cell>
          <cell r="G630" t="str">
            <v>MAT1-2</v>
          </cell>
          <cell r="H630" t="str">
            <v>Environmental</v>
          </cell>
          <cell r="I630" t="str">
            <v>Wildtype</v>
          </cell>
          <cell r="K630">
            <v>4</v>
          </cell>
        </row>
        <row r="631">
          <cell r="A631" t="str">
            <v>E119</v>
          </cell>
          <cell r="B631">
            <v>-23.550519999999999</v>
          </cell>
          <cell r="C631">
            <v>-46.633308999999997</v>
          </cell>
          <cell r="D631">
            <v>1991</v>
          </cell>
          <cell r="E631" t="str">
            <v>Brazil</v>
          </cell>
          <cell r="F631" t="str">
            <v>Wildtype</v>
          </cell>
          <cell r="G631" t="str">
            <v>MAT1-2</v>
          </cell>
          <cell r="H631" t="str">
            <v>Environmental</v>
          </cell>
          <cell r="I631" t="str">
            <v>Wildtype</v>
          </cell>
          <cell r="K631">
            <v>1</v>
          </cell>
        </row>
        <row r="632">
          <cell r="A632" t="str">
            <v>E12</v>
          </cell>
          <cell r="B632">
            <v>51.550026000000003</v>
          </cell>
          <cell r="C632">
            <v>-3.122601</v>
          </cell>
          <cell r="D632">
            <v>2015</v>
          </cell>
          <cell r="E632" t="str">
            <v>UK</v>
          </cell>
          <cell r="F632" t="str">
            <v>TR34/L98H</v>
          </cell>
          <cell r="G632" t="str">
            <v>MAT1-2</v>
          </cell>
          <cell r="H632" t="str">
            <v>Environmental</v>
          </cell>
          <cell r="I632" t="str">
            <v>Wildtype</v>
          </cell>
          <cell r="J632" t="str">
            <v>&gt;16</v>
          </cell>
          <cell r="K632">
            <v>3</v>
          </cell>
        </row>
        <row r="633">
          <cell r="A633" t="str">
            <v>E120</v>
          </cell>
          <cell r="B633">
            <v>21.438911999999998</v>
          </cell>
          <cell r="C633">
            <v>-158.000057</v>
          </cell>
          <cell r="D633">
            <v>1997</v>
          </cell>
          <cell r="E633" t="str">
            <v>USA</v>
          </cell>
          <cell r="F633" t="str">
            <v>Wildtype</v>
          </cell>
          <cell r="G633" t="str">
            <v>MAT1-1</v>
          </cell>
          <cell r="H633" t="str">
            <v>Environmental</v>
          </cell>
          <cell r="I633" t="str">
            <v>Wildtype</v>
          </cell>
          <cell r="K633">
            <v>4</v>
          </cell>
        </row>
        <row r="634">
          <cell r="A634" t="str">
            <v>E121</v>
          </cell>
          <cell r="B634">
            <v>-17.825165999999999</v>
          </cell>
          <cell r="C634">
            <v>31.03351</v>
          </cell>
          <cell r="D634">
            <v>2002</v>
          </cell>
          <cell r="E634" t="str">
            <v>Zimbabwe</v>
          </cell>
          <cell r="F634" t="str">
            <v>Wildtype</v>
          </cell>
          <cell r="G634" t="str">
            <v>MAT1-2</v>
          </cell>
          <cell r="H634" t="str">
            <v>Environmental</v>
          </cell>
          <cell r="I634" t="str">
            <v>Wildtype</v>
          </cell>
          <cell r="K634">
            <v>4</v>
          </cell>
        </row>
        <row r="635">
          <cell r="A635" t="str">
            <v>E122</v>
          </cell>
          <cell r="B635">
            <v>6.886177</v>
          </cell>
          <cell r="C635">
            <v>79.927819999999997</v>
          </cell>
          <cell r="D635">
            <v>1991</v>
          </cell>
          <cell r="E635" t="str">
            <v>Sri Lanka</v>
          </cell>
          <cell r="F635" t="str">
            <v>Wildtype</v>
          </cell>
          <cell r="G635" t="str">
            <v>MAT1-1</v>
          </cell>
          <cell r="H635" t="str">
            <v>Environmental</v>
          </cell>
          <cell r="I635" t="str">
            <v>Wildtype</v>
          </cell>
          <cell r="K635">
            <v>4</v>
          </cell>
        </row>
        <row r="636">
          <cell r="A636" t="str">
            <v>E123</v>
          </cell>
          <cell r="B636">
            <v>-17.825165999999999</v>
          </cell>
          <cell r="C636">
            <v>31.03351</v>
          </cell>
          <cell r="D636">
            <v>2002</v>
          </cell>
          <cell r="E636" t="str">
            <v>Zimbabwe</v>
          </cell>
          <cell r="F636" t="str">
            <v>Wildtype</v>
          </cell>
          <cell r="G636" t="str">
            <v>MAT1-2</v>
          </cell>
          <cell r="H636" t="str">
            <v>Environmental</v>
          </cell>
          <cell r="I636" t="str">
            <v>Wildtype</v>
          </cell>
          <cell r="K636">
            <v>4</v>
          </cell>
        </row>
        <row r="637">
          <cell r="A637" t="str">
            <v>E124</v>
          </cell>
          <cell r="B637">
            <v>7.8730539999999998</v>
          </cell>
          <cell r="C637">
            <v>80.771797000000007</v>
          </cell>
          <cell r="D637">
            <v>1991</v>
          </cell>
          <cell r="E637" t="str">
            <v>Sri Lanka</v>
          </cell>
          <cell r="F637" t="str">
            <v>Wildtype</v>
          </cell>
          <cell r="G637" t="e">
            <v>#N/A</v>
          </cell>
          <cell r="H637" t="str">
            <v>Environmental</v>
          </cell>
          <cell r="I637" t="str">
            <v>Wildtype</v>
          </cell>
          <cell r="K637">
            <v>1</v>
          </cell>
        </row>
        <row r="638">
          <cell r="A638" t="str">
            <v>E125</v>
          </cell>
          <cell r="B638">
            <v>29.951066000000001</v>
          </cell>
          <cell r="C638">
            <v>-90.071532000000005</v>
          </cell>
          <cell r="E638" t="str">
            <v>USA</v>
          </cell>
          <cell r="F638" t="str">
            <v>Wildtype</v>
          </cell>
          <cell r="G638" t="str">
            <v>MAT1-1</v>
          </cell>
          <cell r="H638" t="str">
            <v>Environmental</v>
          </cell>
          <cell r="I638" t="str">
            <v>Wildtype</v>
          </cell>
          <cell r="K638">
            <v>1</v>
          </cell>
        </row>
        <row r="639">
          <cell r="A639" t="str">
            <v>E126</v>
          </cell>
          <cell r="B639">
            <v>-20.348403999999999</v>
          </cell>
          <cell r="C639">
            <v>57.552152</v>
          </cell>
          <cell r="D639">
            <v>2002</v>
          </cell>
          <cell r="E639" t="str">
            <v>Mauritius</v>
          </cell>
          <cell r="F639" t="str">
            <v>Wildtype</v>
          </cell>
          <cell r="G639" t="str">
            <v>MAT1-1</v>
          </cell>
          <cell r="H639" t="str">
            <v>Environmental</v>
          </cell>
          <cell r="I639" t="str">
            <v>Wildtype</v>
          </cell>
          <cell r="K639">
            <v>1</v>
          </cell>
        </row>
        <row r="640">
          <cell r="A640" t="str">
            <v>E127</v>
          </cell>
          <cell r="B640">
            <v>19.432607999999998</v>
          </cell>
          <cell r="C640">
            <v>-99.133207999999996</v>
          </cell>
          <cell r="D640">
            <v>2005</v>
          </cell>
          <cell r="E640" t="str">
            <v>Mexico</v>
          </cell>
          <cell r="F640" t="str">
            <v>Wildtype</v>
          </cell>
          <cell r="G640" t="str">
            <v>MAT1-2</v>
          </cell>
          <cell r="H640" t="str">
            <v>Environmental</v>
          </cell>
          <cell r="I640" t="str">
            <v>Wildtype</v>
          </cell>
          <cell r="K640">
            <v>3</v>
          </cell>
        </row>
        <row r="641">
          <cell r="A641" t="str">
            <v>E128</v>
          </cell>
          <cell r="B641">
            <v>19.432607999999998</v>
          </cell>
          <cell r="C641">
            <v>-99.133207999999996</v>
          </cell>
          <cell r="D641">
            <v>2005</v>
          </cell>
          <cell r="E641" t="str">
            <v>Mexico</v>
          </cell>
          <cell r="F641" t="str">
            <v>Wildtype</v>
          </cell>
          <cell r="G641" t="str">
            <v>MAT1-1</v>
          </cell>
          <cell r="H641" t="str">
            <v>Environmental</v>
          </cell>
          <cell r="I641" t="str">
            <v>Wildtype</v>
          </cell>
          <cell r="K641">
            <v>3</v>
          </cell>
        </row>
        <row r="642">
          <cell r="A642" t="str">
            <v>E129</v>
          </cell>
          <cell r="B642">
            <v>33.836593000000001</v>
          </cell>
          <cell r="C642">
            <v>-117.91430099999999</v>
          </cell>
          <cell r="D642">
            <v>1999</v>
          </cell>
          <cell r="E642" t="str">
            <v>USA</v>
          </cell>
          <cell r="F642" t="str">
            <v>Wildtype</v>
          </cell>
          <cell r="G642" t="str">
            <v>MAT1-1</v>
          </cell>
          <cell r="H642" t="str">
            <v>Environmental</v>
          </cell>
          <cell r="I642" t="str">
            <v>Wildtype</v>
          </cell>
          <cell r="K642">
            <v>4</v>
          </cell>
        </row>
        <row r="643">
          <cell r="A643" t="str">
            <v>E13</v>
          </cell>
          <cell r="B643">
            <v>51.441623999999997</v>
          </cell>
          <cell r="C643">
            <v>-3.2768120000000001</v>
          </cell>
          <cell r="D643">
            <v>2015</v>
          </cell>
          <cell r="E643" t="str">
            <v>UK</v>
          </cell>
          <cell r="F643" t="str">
            <v>TR34/L98H</v>
          </cell>
          <cell r="G643" t="str">
            <v>MAT1-2</v>
          </cell>
          <cell r="H643" t="str">
            <v>Environmental</v>
          </cell>
          <cell r="I643" t="str">
            <v>Wildtype</v>
          </cell>
          <cell r="K643">
            <v>2</v>
          </cell>
        </row>
        <row r="644">
          <cell r="A644" t="str">
            <v>E130</v>
          </cell>
          <cell r="B644">
            <v>23.030339999999999</v>
          </cell>
          <cell r="C644">
            <v>-81.532214999999994</v>
          </cell>
          <cell r="D644">
            <v>1999</v>
          </cell>
          <cell r="E644" t="str">
            <v>Cuba</v>
          </cell>
          <cell r="F644" t="str">
            <v>Wildtype</v>
          </cell>
          <cell r="G644" t="str">
            <v>MAT1-1</v>
          </cell>
          <cell r="H644" t="str">
            <v>Environmental</v>
          </cell>
          <cell r="I644" t="str">
            <v>Wildtype</v>
          </cell>
          <cell r="K644">
            <v>1</v>
          </cell>
        </row>
        <row r="645">
          <cell r="A645" t="str">
            <v>E131</v>
          </cell>
          <cell r="B645">
            <v>18.520430000000001</v>
          </cell>
          <cell r="C645">
            <v>73.856744000000006</v>
          </cell>
          <cell r="D645">
            <v>1998</v>
          </cell>
          <cell r="E645" t="str">
            <v>India</v>
          </cell>
          <cell r="F645" t="str">
            <v>Wildtype</v>
          </cell>
          <cell r="G645" t="str">
            <v>MAT1-2</v>
          </cell>
          <cell r="H645" t="str">
            <v>Environmental</v>
          </cell>
          <cell r="I645" t="str">
            <v>Wildtype</v>
          </cell>
          <cell r="K645">
            <v>3</v>
          </cell>
        </row>
        <row r="646">
          <cell r="A646" t="str">
            <v>E132</v>
          </cell>
          <cell r="B646">
            <v>18.520430000000001</v>
          </cell>
          <cell r="C646">
            <v>73.856744000000006</v>
          </cell>
          <cell r="D646">
            <v>1998</v>
          </cell>
          <cell r="E646" t="str">
            <v>India</v>
          </cell>
          <cell r="F646" t="str">
            <v>Wildtype</v>
          </cell>
          <cell r="G646" t="str">
            <v>MAT1-2</v>
          </cell>
          <cell r="H646" t="str">
            <v>Environmental</v>
          </cell>
          <cell r="I646" t="str">
            <v>Wildtype</v>
          </cell>
          <cell r="K646">
            <v>4</v>
          </cell>
        </row>
        <row r="647">
          <cell r="A647" t="str">
            <v>E133</v>
          </cell>
          <cell r="B647">
            <v>52.954782999999999</v>
          </cell>
          <cell r="C647">
            <v>-1.1581090000000001</v>
          </cell>
          <cell r="D647">
            <v>2012</v>
          </cell>
          <cell r="E647" t="str">
            <v>UK</v>
          </cell>
          <cell r="F647" t="str">
            <v>Wildtype</v>
          </cell>
          <cell r="G647" t="str">
            <v>MAT1-2</v>
          </cell>
          <cell r="H647" t="str">
            <v>Environmental</v>
          </cell>
          <cell r="I647" t="str">
            <v>Wildtype</v>
          </cell>
          <cell r="K647">
            <v>4</v>
          </cell>
        </row>
        <row r="648">
          <cell r="A648" t="str">
            <v>E134</v>
          </cell>
          <cell r="B648">
            <v>34.092809000000003</v>
          </cell>
          <cell r="C648">
            <v>-118.328661</v>
          </cell>
          <cell r="D648">
            <v>1999</v>
          </cell>
          <cell r="E648" t="str">
            <v>USA</v>
          </cell>
          <cell r="F648" t="str">
            <v>Wildtype</v>
          </cell>
          <cell r="G648" t="str">
            <v>MAT1-2</v>
          </cell>
          <cell r="H648" t="str">
            <v>Environmental</v>
          </cell>
          <cell r="I648" t="str">
            <v>Wildtype</v>
          </cell>
          <cell r="K648">
            <v>4</v>
          </cell>
        </row>
        <row r="649">
          <cell r="A649" t="str">
            <v>E135</v>
          </cell>
          <cell r="B649">
            <v>23.030339999999999</v>
          </cell>
          <cell r="C649">
            <v>-81.532214999999994</v>
          </cell>
          <cell r="D649">
            <v>1999</v>
          </cell>
          <cell r="E649" t="str">
            <v>Cuba</v>
          </cell>
          <cell r="F649" t="str">
            <v>Wildtype</v>
          </cell>
          <cell r="G649" t="str">
            <v>MAT1-1</v>
          </cell>
          <cell r="H649" t="str">
            <v>Environmental</v>
          </cell>
          <cell r="I649" t="str">
            <v>Wildtype</v>
          </cell>
          <cell r="K649">
            <v>1</v>
          </cell>
        </row>
        <row r="650">
          <cell r="A650" t="str">
            <v>E136</v>
          </cell>
          <cell r="B650">
            <v>53.700389999999999</v>
          </cell>
          <cell r="C650">
            <v>-0.80657000000000001</v>
          </cell>
          <cell r="D650">
            <v>2010</v>
          </cell>
          <cell r="E650" t="str">
            <v>UK</v>
          </cell>
          <cell r="F650" t="str">
            <v>Wildtype</v>
          </cell>
          <cell r="G650" t="str">
            <v>MAT1-2</v>
          </cell>
          <cell r="H650" t="str">
            <v>Environmental</v>
          </cell>
          <cell r="I650" t="str">
            <v>Wildtype</v>
          </cell>
          <cell r="K650">
            <v>4</v>
          </cell>
        </row>
        <row r="651">
          <cell r="A651" t="str">
            <v>E137</v>
          </cell>
          <cell r="B651">
            <v>41.203322</v>
          </cell>
          <cell r="C651">
            <v>-77.194524999999999</v>
          </cell>
          <cell r="E651" t="str">
            <v>USA</v>
          </cell>
          <cell r="F651" t="str">
            <v>Wildtype</v>
          </cell>
          <cell r="G651" t="str">
            <v>MAT1-2</v>
          </cell>
          <cell r="H651" t="str">
            <v>Environmental</v>
          </cell>
          <cell r="I651" t="str">
            <v>Wildtype</v>
          </cell>
          <cell r="K651">
            <v>4</v>
          </cell>
        </row>
        <row r="652">
          <cell r="A652" t="str">
            <v>E138</v>
          </cell>
          <cell r="B652">
            <v>40.267194000000003</v>
          </cell>
          <cell r="C652">
            <v>-86.134901999999997</v>
          </cell>
          <cell r="E652" t="str">
            <v>USA</v>
          </cell>
          <cell r="F652" t="str">
            <v>Wildtype</v>
          </cell>
          <cell r="G652" t="str">
            <v>MAT1-1</v>
          </cell>
          <cell r="H652" t="str">
            <v>Environmental</v>
          </cell>
          <cell r="I652" t="str">
            <v>Wildtype</v>
          </cell>
          <cell r="K652">
            <v>4</v>
          </cell>
        </row>
        <row r="653">
          <cell r="A653" t="str">
            <v>E139</v>
          </cell>
          <cell r="B653">
            <v>38.907192000000002</v>
          </cell>
          <cell r="C653">
            <v>-77.036871000000005</v>
          </cell>
          <cell r="E653" t="str">
            <v>USA</v>
          </cell>
          <cell r="F653" t="str">
            <v>Wildtype</v>
          </cell>
          <cell r="G653" t="str">
            <v>MAT1-1</v>
          </cell>
          <cell r="H653" t="str">
            <v>Environmental</v>
          </cell>
          <cell r="I653" t="str">
            <v>Wildtype</v>
          </cell>
          <cell r="K653">
            <v>4</v>
          </cell>
        </row>
        <row r="654">
          <cell r="A654" t="str">
            <v>E14</v>
          </cell>
          <cell r="B654">
            <v>51.441623999999997</v>
          </cell>
          <cell r="C654">
            <v>-3.2768120000000001</v>
          </cell>
          <cell r="D654">
            <v>2015</v>
          </cell>
          <cell r="E654" t="str">
            <v>UK</v>
          </cell>
          <cell r="F654" t="str">
            <v>TR34/L98H</v>
          </cell>
          <cell r="G654" t="str">
            <v>MAT1-2</v>
          </cell>
          <cell r="H654" t="str">
            <v>Environmental</v>
          </cell>
          <cell r="I654" t="str">
            <v>F219Y</v>
          </cell>
          <cell r="K654">
            <v>1</v>
          </cell>
        </row>
        <row r="655">
          <cell r="A655" t="str">
            <v>E140</v>
          </cell>
          <cell r="B655">
            <v>40.712775000000001</v>
          </cell>
          <cell r="C655">
            <v>-74.005972999999997</v>
          </cell>
          <cell r="E655" t="str">
            <v>USA</v>
          </cell>
          <cell r="F655" t="str">
            <v>Wildtype</v>
          </cell>
          <cell r="G655" t="str">
            <v>MAT1-2</v>
          </cell>
          <cell r="H655" t="str">
            <v>Environmental</v>
          </cell>
          <cell r="I655" t="str">
            <v>Wildtype</v>
          </cell>
          <cell r="K655">
            <v>4</v>
          </cell>
        </row>
        <row r="656">
          <cell r="A656" t="str">
            <v>E141</v>
          </cell>
          <cell r="B656">
            <v>41.203322</v>
          </cell>
          <cell r="C656">
            <v>-77.194524999999999</v>
          </cell>
          <cell r="E656" t="str">
            <v>USA</v>
          </cell>
          <cell r="F656" t="str">
            <v>Wildtype</v>
          </cell>
          <cell r="G656" t="str">
            <v>MAT1-2</v>
          </cell>
          <cell r="H656" t="str">
            <v>Environmental</v>
          </cell>
          <cell r="I656" t="str">
            <v>Wildtype</v>
          </cell>
          <cell r="K656">
            <v>4</v>
          </cell>
        </row>
        <row r="657">
          <cell r="A657" t="str">
            <v>E142</v>
          </cell>
          <cell r="B657">
            <v>39.045755</v>
          </cell>
          <cell r="C657">
            <v>-76.641271000000003</v>
          </cell>
          <cell r="E657" t="str">
            <v>USA</v>
          </cell>
          <cell r="F657" t="str">
            <v>Wildtype</v>
          </cell>
          <cell r="G657" t="str">
            <v>MAT1-1</v>
          </cell>
          <cell r="H657" t="str">
            <v>Environmental</v>
          </cell>
          <cell r="I657" t="str">
            <v>Wildtype</v>
          </cell>
          <cell r="K657">
            <v>5</v>
          </cell>
        </row>
        <row r="658">
          <cell r="A658" t="str">
            <v>E143</v>
          </cell>
          <cell r="B658">
            <v>36.778261000000001</v>
          </cell>
          <cell r="C658">
            <v>-119.41793199999999</v>
          </cell>
          <cell r="D658">
            <v>2009</v>
          </cell>
          <cell r="E658" t="str">
            <v>USA</v>
          </cell>
          <cell r="F658" t="str">
            <v>Wildtype</v>
          </cell>
          <cell r="G658" t="str">
            <v>MAT1-2</v>
          </cell>
          <cell r="H658" t="str">
            <v>Environmental</v>
          </cell>
          <cell r="I658" t="str">
            <v>Wildtype</v>
          </cell>
          <cell r="K658">
            <v>5</v>
          </cell>
        </row>
        <row r="659">
          <cell r="A659" t="str">
            <v>E144</v>
          </cell>
          <cell r="B659">
            <v>36.778261000000001</v>
          </cell>
          <cell r="C659">
            <v>-119.41793199999999</v>
          </cell>
          <cell r="D659">
            <v>2009</v>
          </cell>
          <cell r="E659" t="str">
            <v>USA</v>
          </cell>
          <cell r="F659" t="str">
            <v>Wildtype</v>
          </cell>
          <cell r="G659" t="str">
            <v>MAT1-1</v>
          </cell>
          <cell r="H659" t="str">
            <v>Environmental</v>
          </cell>
          <cell r="I659" t="str">
            <v>Wildtype</v>
          </cell>
          <cell r="K659">
            <v>5</v>
          </cell>
        </row>
        <row r="660">
          <cell r="A660" t="str">
            <v>E145</v>
          </cell>
          <cell r="B660">
            <v>32.165621999999999</v>
          </cell>
          <cell r="C660">
            <v>-82.900075000000001</v>
          </cell>
          <cell r="E660" t="str">
            <v>USA</v>
          </cell>
          <cell r="F660" t="str">
            <v>TR34/L98H</v>
          </cell>
          <cell r="G660" t="str">
            <v>MAT1-2</v>
          </cell>
          <cell r="H660" t="str">
            <v>Environmental</v>
          </cell>
          <cell r="I660" t="str">
            <v>F219Y</v>
          </cell>
          <cell r="K660">
            <v>4</v>
          </cell>
        </row>
        <row r="661">
          <cell r="A661" t="str">
            <v>E146</v>
          </cell>
          <cell r="B661">
            <v>32.165621999999999</v>
          </cell>
          <cell r="C661">
            <v>-82.900075000000001</v>
          </cell>
          <cell r="E661" t="str">
            <v>USA</v>
          </cell>
          <cell r="F661" t="str">
            <v>Wildtype</v>
          </cell>
          <cell r="G661" t="str">
            <v>MAT1-2</v>
          </cell>
          <cell r="H661" t="str">
            <v>Environmental</v>
          </cell>
          <cell r="I661" t="str">
            <v>Wildtype</v>
          </cell>
          <cell r="K661">
            <v>4</v>
          </cell>
        </row>
        <row r="662">
          <cell r="A662" t="str">
            <v>E147</v>
          </cell>
          <cell r="B662">
            <v>32.165621999999999</v>
          </cell>
          <cell r="C662">
            <v>-82.900075000000001</v>
          </cell>
          <cell r="E662" t="str">
            <v>USA</v>
          </cell>
          <cell r="F662" t="str">
            <v>Wildtype</v>
          </cell>
          <cell r="G662" t="str">
            <v>MAT1-2</v>
          </cell>
          <cell r="H662" t="str">
            <v>Environmental</v>
          </cell>
          <cell r="I662" t="str">
            <v>Wildtype</v>
          </cell>
          <cell r="K662">
            <v>4</v>
          </cell>
        </row>
        <row r="663">
          <cell r="A663" t="str">
            <v>E148</v>
          </cell>
          <cell r="B663">
            <v>32.165621999999999</v>
          </cell>
          <cell r="C663">
            <v>-82.900075000000001</v>
          </cell>
          <cell r="E663" t="str">
            <v>USA</v>
          </cell>
          <cell r="F663" t="str">
            <v>TR34/L98H</v>
          </cell>
          <cell r="G663" t="str">
            <v>MAT1-2</v>
          </cell>
          <cell r="H663" t="str">
            <v>Environmental</v>
          </cell>
          <cell r="I663" t="str">
            <v>F219Y</v>
          </cell>
          <cell r="K663">
            <v>4</v>
          </cell>
        </row>
        <row r="664">
          <cell r="A664" t="str">
            <v>E149</v>
          </cell>
          <cell r="B664">
            <v>32.165621999999999</v>
          </cell>
          <cell r="C664">
            <v>-82.900075000000001</v>
          </cell>
          <cell r="E664" t="str">
            <v>USA</v>
          </cell>
          <cell r="F664" t="str">
            <v>TR34/L98H</v>
          </cell>
          <cell r="G664" t="str">
            <v>MAT1-2</v>
          </cell>
          <cell r="H664" t="str">
            <v>Environmental</v>
          </cell>
          <cell r="I664" t="str">
            <v>F219Y</v>
          </cell>
          <cell r="K664">
            <v>4</v>
          </cell>
        </row>
        <row r="665">
          <cell r="A665" t="str">
            <v>E15</v>
          </cell>
          <cell r="B665">
            <v>51.443711999999998</v>
          </cell>
          <cell r="C665">
            <v>-3.3025920000000002</v>
          </cell>
          <cell r="D665">
            <v>2015</v>
          </cell>
          <cell r="E665" t="str">
            <v>UK</v>
          </cell>
          <cell r="F665" t="str">
            <v>TR34/L98H</v>
          </cell>
          <cell r="G665" t="str">
            <v>MAT1-2</v>
          </cell>
          <cell r="H665" t="str">
            <v>Environmental</v>
          </cell>
          <cell r="I665" t="str">
            <v>Wildtype</v>
          </cell>
          <cell r="J665" t="str">
            <v>&gt;16</v>
          </cell>
          <cell r="K665">
            <v>3</v>
          </cell>
        </row>
        <row r="666">
          <cell r="A666" t="str">
            <v>E150</v>
          </cell>
          <cell r="B666">
            <v>-31.253218</v>
          </cell>
          <cell r="C666">
            <v>146.921099</v>
          </cell>
          <cell r="E666" t="str">
            <v>Australia</v>
          </cell>
          <cell r="F666" t="str">
            <v>Wildtype</v>
          </cell>
          <cell r="G666" t="str">
            <v>MAT1-1</v>
          </cell>
          <cell r="H666" t="str">
            <v>Environmental</v>
          </cell>
          <cell r="I666" t="str">
            <v>Wildtype</v>
          </cell>
          <cell r="K666">
            <v>1</v>
          </cell>
        </row>
        <row r="667">
          <cell r="A667" t="str">
            <v>E151</v>
          </cell>
          <cell r="B667">
            <v>-31.253218</v>
          </cell>
          <cell r="C667">
            <v>146.921099</v>
          </cell>
          <cell r="E667" t="str">
            <v>Australia</v>
          </cell>
          <cell r="F667" t="str">
            <v>Wildtype</v>
          </cell>
          <cell r="G667" t="str">
            <v>MAT1-1</v>
          </cell>
          <cell r="H667" t="str">
            <v>Environmental</v>
          </cell>
          <cell r="I667" t="str">
            <v>Wildtype</v>
          </cell>
          <cell r="K667">
            <v>3</v>
          </cell>
        </row>
        <row r="668">
          <cell r="A668" t="str">
            <v>E152</v>
          </cell>
          <cell r="B668">
            <v>-31.253218</v>
          </cell>
          <cell r="C668">
            <v>146.921099</v>
          </cell>
          <cell r="E668" t="str">
            <v>Australia</v>
          </cell>
          <cell r="F668" t="str">
            <v>Wildtype</v>
          </cell>
          <cell r="G668" t="str">
            <v>MAT1-2</v>
          </cell>
          <cell r="H668" t="str">
            <v>Environmental</v>
          </cell>
          <cell r="I668" t="str">
            <v>Wildtype</v>
          </cell>
          <cell r="K668">
            <v>4</v>
          </cell>
        </row>
        <row r="669">
          <cell r="A669" t="str">
            <v>E153</v>
          </cell>
          <cell r="B669">
            <v>-31.253218</v>
          </cell>
          <cell r="C669">
            <v>146.921099</v>
          </cell>
          <cell r="E669" t="str">
            <v>Australia</v>
          </cell>
          <cell r="F669" t="str">
            <v>Wildtype</v>
          </cell>
          <cell r="G669" t="str">
            <v>MAT1-2</v>
          </cell>
          <cell r="H669" t="str">
            <v>Environmental</v>
          </cell>
          <cell r="I669" t="str">
            <v>Wildtype</v>
          </cell>
          <cell r="K669">
            <v>4</v>
          </cell>
        </row>
        <row r="670">
          <cell r="A670" t="str">
            <v>E154</v>
          </cell>
          <cell r="B670">
            <v>-31.253218</v>
          </cell>
          <cell r="C670">
            <v>146.921099</v>
          </cell>
          <cell r="E670" t="str">
            <v>Australia</v>
          </cell>
          <cell r="F670" t="str">
            <v>Wildtype</v>
          </cell>
          <cell r="G670" t="str">
            <v>MAT1-1</v>
          </cell>
          <cell r="H670" t="str">
            <v>Environmental</v>
          </cell>
          <cell r="I670" t="str">
            <v>Wildtype</v>
          </cell>
          <cell r="K670">
            <v>5</v>
          </cell>
        </row>
        <row r="671">
          <cell r="A671" t="str">
            <v>E155</v>
          </cell>
          <cell r="B671">
            <v>-31.253218</v>
          </cell>
          <cell r="C671">
            <v>146.921099</v>
          </cell>
          <cell r="E671" t="str">
            <v>Australia</v>
          </cell>
          <cell r="F671" t="str">
            <v>Wildtype</v>
          </cell>
          <cell r="G671" t="str">
            <v>MAT1-2</v>
          </cell>
          <cell r="H671" t="str">
            <v>Environmental</v>
          </cell>
          <cell r="I671" t="str">
            <v>Wildtype</v>
          </cell>
          <cell r="K671">
            <v>4</v>
          </cell>
        </row>
        <row r="672">
          <cell r="A672" t="str">
            <v>E156</v>
          </cell>
          <cell r="B672">
            <v>-31.253218</v>
          </cell>
          <cell r="C672">
            <v>146.921099</v>
          </cell>
          <cell r="E672" t="str">
            <v>Australia</v>
          </cell>
          <cell r="F672" t="str">
            <v>Wildtype</v>
          </cell>
          <cell r="G672" t="str">
            <v>MAT1-1</v>
          </cell>
          <cell r="H672" t="str">
            <v>Environmental</v>
          </cell>
          <cell r="I672" t="str">
            <v>Wildtype</v>
          </cell>
          <cell r="K672">
            <v>5</v>
          </cell>
        </row>
        <row r="673">
          <cell r="A673" t="str">
            <v>E157</v>
          </cell>
          <cell r="B673">
            <v>-31.253218</v>
          </cell>
          <cell r="C673">
            <v>146.921099</v>
          </cell>
          <cell r="E673" t="str">
            <v>Australia</v>
          </cell>
          <cell r="F673" t="str">
            <v>Wildtype</v>
          </cell>
          <cell r="G673" t="str">
            <v>MAT1-2</v>
          </cell>
          <cell r="H673" t="str">
            <v>Environmental</v>
          </cell>
          <cell r="I673" t="str">
            <v>Wildtype</v>
          </cell>
          <cell r="K673">
            <v>4</v>
          </cell>
        </row>
        <row r="674">
          <cell r="A674" t="str">
            <v>E158</v>
          </cell>
          <cell r="B674">
            <v>-31.253218</v>
          </cell>
          <cell r="C674">
            <v>146.921099</v>
          </cell>
          <cell r="E674" t="str">
            <v>Australia</v>
          </cell>
          <cell r="F674" t="str">
            <v>Wildtype</v>
          </cell>
          <cell r="G674" t="str">
            <v>MAT1-1</v>
          </cell>
          <cell r="H674" t="str">
            <v>Environmental</v>
          </cell>
          <cell r="I674" t="str">
            <v>Wildtype</v>
          </cell>
          <cell r="K674">
            <v>1</v>
          </cell>
        </row>
        <row r="675">
          <cell r="A675" t="str">
            <v>E159</v>
          </cell>
          <cell r="B675">
            <v>-31.253218</v>
          </cell>
          <cell r="C675">
            <v>146.921099</v>
          </cell>
          <cell r="E675" t="str">
            <v>Australia</v>
          </cell>
          <cell r="F675" t="str">
            <v>Wildtype</v>
          </cell>
          <cell r="G675" t="str">
            <v>MAT1-2</v>
          </cell>
          <cell r="H675" t="str">
            <v>Environmental</v>
          </cell>
          <cell r="I675" t="str">
            <v>Wildtype</v>
          </cell>
          <cell r="K675">
            <v>4</v>
          </cell>
        </row>
        <row r="676">
          <cell r="A676" t="str">
            <v>E16</v>
          </cell>
          <cell r="B676">
            <v>51.425457999999999</v>
          </cell>
          <cell r="C676">
            <v>-3.556041</v>
          </cell>
          <cell r="D676">
            <v>2015</v>
          </cell>
          <cell r="E676" t="str">
            <v>UK</v>
          </cell>
          <cell r="F676" t="str">
            <v>TR34/L98H</v>
          </cell>
          <cell r="G676" t="str">
            <v>MAT1-2</v>
          </cell>
          <cell r="H676" t="str">
            <v>Environmental</v>
          </cell>
          <cell r="I676" t="str">
            <v>Wildtype</v>
          </cell>
          <cell r="J676" t="str">
            <v>&gt;16</v>
          </cell>
          <cell r="K676">
            <v>2</v>
          </cell>
        </row>
        <row r="677">
          <cell r="A677" t="str">
            <v>E160</v>
          </cell>
          <cell r="B677">
            <v>20.593682999999999</v>
          </cell>
          <cell r="C677">
            <v>78.962883000000005</v>
          </cell>
          <cell r="D677">
            <v>2013</v>
          </cell>
          <cell r="E677" t="str">
            <v>India</v>
          </cell>
          <cell r="F677" t="str">
            <v>Wildtype</v>
          </cell>
          <cell r="G677" t="str">
            <v>MAT1-2</v>
          </cell>
          <cell r="H677" t="str">
            <v>Environmental</v>
          </cell>
          <cell r="I677" t="str">
            <v>Wildtype</v>
          </cell>
          <cell r="K677">
            <v>3</v>
          </cell>
        </row>
        <row r="678">
          <cell r="A678" t="str">
            <v>E161</v>
          </cell>
          <cell r="B678">
            <v>20.593682999999999</v>
          </cell>
          <cell r="C678">
            <v>78.962883000000005</v>
          </cell>
          <cell r="D678">
            <v>2013</v>
          </cell>
          <cell r="E678" t="str">
            <v>India</v>
          </cell>
          <cell r="F678" t="str">
            <v>Wildtype</v>
          </cell>
          <cell r="G678" t="str">
            <v>MAT1-2</v>
          </cell>
          <cell r="H678" t="str">
            <v>Environmental</v>
          </cell>
          <cell r="I678" t="str">
            <v>Wildtype</v>
          </cell>
          <cell r="K678">
            <v>4</v>
          </cell>
        </row>
        <row r="679">
          <cell r="A679" t="str">
            <v>E162</v>
          </cell>
          <cell r="B679">
            <v>20.593682999999999</v>
          </cell>
          <cell r="C679">
            <v>78.962883000000005</v>
          </cell>
          <cell r="D679">
            <v>2012</v>
          </cell>
          <cell r="E679" t="str">
            <v>India</v>
          </cell>
          <cell r="F679" t="str">
            <v>Wildtype</v>
          </cell>
          <cell r="G679" t="str">
            <v>MAT1-2</v>
          </cell>
          <cell r="H679" t="str">
            <v>Environmental</v>
          </cell>
          <cell r="I679" t="str">
            <v>Wildtype</v>
          </cell>
          <cell r="K679">
            <v>3</v>
          </cell>
        </row>
        <row r="680">
          <cell r="A680" t="str">
            <v>E163</v>
          </cell>
          <cell r="B680">
            <v>20.593682999999999</v>
          </cell>
          <cell r="C680">
            <v>78.962883000000005</v>
          </cell>
          <cell r="D680">
            <v>2013</v>
          </cell>
          <cell r="E680" t="str">
            <v>India</v>
          </cell>
          <cell r="F680" t="str">
            <v>Wildtype</v>
          </cell>
          <cell r="G680" t="str">
            <v>MAT1-2</v>
          </cell>
          <cell r="H680" t="str">
            <v>Environmental</v>
          </cell>
          <cell r="I680" t="str">
            <v>Wildtype</v>
          </cell>
          <cell r="K680">
            <v>3</v>
          </cell>
        </row>
        <row r="681">
          <cell r="A681" t="str">
            <v>E164</v>
          </cell>
          <cell r="B681">
            <v>20.593682999999999</v>
          </cell>
          <cell r="C681">
            <v>78.962883000000005</v>
          </cell>
          <cell r="D681">
            <v>2012</v>
          </cell>
          <cell r="E681" t="str">
            <v>India</v>
          </cell>
          <cell r="F681" t="str">
            <v>Wildtype</v>
          </cell>
          <cell r="G681" t="str">
            <v>MAT1-2</v>
          </cell>
          <cell r="H681" t="str">
            <v>Environmental</v>
          </cell>
          <cell r="I681" t="str">
            <v>Wildtype</v>
          </cell>
          <cell r="K681">
            <v>4</v>
          </cell>
        </row>
        <row r="682">
          <cell r="A682" t="str">
            <v>E165</v>
          </cell>
          <cell r="B682">
            <v>20.593682999999999</v>
          </cell>
          <cell r="C682">
            <v>78.962883000000005</v>
          </cell>
          <cell r="D682">
            <v>2012</v>
          </cell>
          <cell r="E682" t="str">
            <v>India</v>
          </cell>
          <cell r="F682" t="str">
            <v>Wildtype</v>
          </cell>
          <cell r="G682" t="str">
            <v>MAT1-2</v>
          </cell>
          <cell r="H682" t="str">
            <v>Environmental</v>
          </cell>
          <cell r="I682" t="str">
            <v>Wildtype</v>
          </cell>
          <cell r="K682">
            <v>4</v>
          </cell>
        </row>
        <row r="683">
          <cell r="A683" t="str">
            <v>E166</v>
          </cell>
          <cell r="B683">
            <v>20.593682999999999</v>
          </cell>
          <cell r="C683">
            <v>78.962883000000005</v>
          </cell>
          <cell r="D683">
            <v>2013</v>
          </cell>
          <cell r="E683" t="str">
            <v>India</v>
          </cell>
          <cell r="F683" t="str">
            <v>Wildtype</v>
          </cell>
          <cell r="G683" t="str">
            <v>MAT1-2</v>
          </cell>
          <cell r="H683" t="str">
            <v>Environmental</v>
          </cell>
          <cell r="I683" t="str">
            <v>Wildtype</v>
          </cell>
          <cell r="K683">
            <v>4</v>
          </cell>
        </row>
        <row r="684">
          <cell r="A684" t="str">
            <v>E167</v>
          </cell>
          <cell r="B684">
            <v>20.593682999999999</v>
          </cell>
          <cell r="C684">
            <v>78.962883000000005</v>
          </cell>
          <cell r="D684">
            <v>2013</v>
          </cell>
          <cell r="E684" t="str">
            <v>India</v>
          </cell>
          <cell r="F684" t="str">
            <v>Wildtype</v>
          </cell>
          <cell r="G684" t="str">
            <v>MAT1-2</v>
          </cell>
          <cell r="H684" t="str">
            <v>Environmental</v>
          </cell>
          <cell r="I684" t="str">
            <v>Wildtype</v>
          </cell>
          <cell r="K684">
            <v>4</v>
          </cell>
        </row>
        <row r="685">
          <cell r="A685" t="str">
            <v>E168</v>
          </cell>
          <cell r="B685">
            <v>51.644041999999999</v>
          </cell>
          <cell r="C685">
            <v>10.124084999999999</v>
          </cell>
          <cell r="D685">
            <v>2012</v>
          </cell>
          <cell r="E685" t="str">
            <v>Germany</v>
          </cell>
          <cell r="F685" t="str">
            <v>TR46/Y121F/T289A</v>
          </cell>
          <cell r="G685" t="str">
            <v>MAT1-2</v>
          </cell>
          <cell r="H685" t="str">
            <v>Environmental</v>
          </cell>
          <cell r="I685" t="str">
            <v>F219Y</v>
          </cell>
          <cell r="K685">
            <v>3</v>
          </cell>
        </row>
        <row r="686">
          <cell r="A686" t="str">
            <v>E169</v>
          </cell>
          <cell r="B686">
            <v>51.484095000000003</v>
          </cell>
          <cell r="C686">
            <v>10.844455999999999</v>
          </cell>
          <cell r="D686">
            <v>2012</v>
          </cell>
          <cell r="E686" t="str">
            <v>Germany</v>
          </cell>
          <cell r="F686" t="str">
            <v>TR34/L98H</v>
          </cell>
          <cell r="G686" t="str">
            <v>MAT1-2</v>
          </cell>
          <cell r="H686" t="str">
            <v>Environmental</v>
          </cell>
          <cell r="I686" t="str">
            <v>Wildtype</v>
          </cell>
          <cell r="K686">
            <v>2</v>
          </cell>
        </row>
        <row r="687">
          <cell r="A687" t="str">
            <v>E17</v>
          </cell>
          <cell r="B687">
            <v>51.839927000000003</v>
          </cell>
          <cell r="C687">
            <v>-4.1514860000000002</v>
          </cell>
          <cell r="D687">
            <v>2015</v>
          </cell>
          <cell r="E687" t="str">
            <v>UK</v>
          </cell>
          <cell r="F687" t="str">
            <v>TR34/L98H</v>
          </cell>
          <cell r="G687" t="str">
            <v>MAT1-2</v>
          </cell>
          <cell r="H687" t="str">
            <v>Environmental</v>
          </cell>
          <cell r="I687" t="str">
            <v>F219Y</v>
          </cell>
          <cell r="J687" t="str">
            <v>&gt;16</v>
          </cell>
          <cell r="K687">
            <v>3</v>
          </cell>
        </row>
        <row r="688">
          <cell r="A688" t="str">
            <v>E170</v>
          </cell>
          <cell r="B688">
            <v>52.633889000000003</v>
          </cell>
          <cell r="C688">
            <v>13.468332999999999</v>
          </cell>
          <cell r="D688">
            <v>2012</v>
          </cell>
          <cell r="E688" t="str">
            <v>Germany</v>
          </cell>
          <cell r="F688" t="str">
            <v>TR34/L98H</v>
          </cell>
          <cell r="G688" t="str">
            <v>MAT1-1</v>
          </cell>
          <cell r="H688" t="str">
            <v>Environmental</v>
          </cell>
          <cell r="I688" t="str">
            <v>Wildtype</v>
          </cell>
          <cell r="K688">
            <v>3</v>
          </cell>
        </row>
        <row r="689">
          <cell r="A689" t="str">
            <v>E171</v>
          </cell>
          <cell r="B689">
            <v>51.756352999999997</v>
          </cell>
          <cell r="C689">
            <v>14.714226999999999</v>
          </cell>
          <cell r="D689">
            <v>2012</v>
          </cell>
          <cell r="E689" t="str">
            <v>Germany</v>
          </cell>
          <cell r="F689" t="str">
            <v>TR46/Y121F/T289A</v>
          </cell>
          <cell r="G689" t="str">
            <v>MAT1-2</v>
          </cell>
          <cell r="H689" t="str">
            <v>Environmental</v>
          </cell>
          <cell r="I689" t="str">
            <v>F219Y</v>
          </cell>
          <cell r="K689">
            <v>3</v>
          </cell>
        </row>
        <row r="690">
          <cell r="A690" t="str">
            <v>E172</v>
          </cell>
          <cell r="B690">
            <v>48.460863000000003</v>
          </cell>
          <cell r="C690">
            <v>12.73122</v>
          </cell>
          <cell r="D690">
            <v>2012</v>
          </cell>
          <cell r="E690" t="str">
            <v>Germany</v>
          </cell>
          <cell r="F690" t="str">
            <v>Wildtype</v>
          </cell>
          <cell r="G690" t="str">
            <v>MAT1-2</v>
          </cell>
          <cell r="H690" t="str">
            <v>Environmental</v>
          </cell>
          <cell r="I690" t="str">
            <v>Wildtype</v>
          </cell>
          <cell r="K690">
            <v>4</v>
          </cell>
        </row>
        <row r="691">
          <cell r="A691" t="str">
            <v>E173</v>
          </cell>
          <cell r="B691">
            <v>52.059497</v>
          </cell>
          <cell r="C691">
            <v>7.9352989999999997</v>
          </cell>
          <cell r="D691">
            <v>2012</v>
          </cell>
          <cell r="E691" t="str">
            <v>Germany</v>
          </cell>
          <cell r="F691" t="str">
            <v>TR46/Y121F/T289A</v>
          </cell>
          <cell r="G691" t="str">
            <v>MAT1-2</v>
          </cell>
          <cell r="H691" t="str">
            <v>Environmental</v>
          </cell>
          <cell r="I691" t="str">
            <v>F219Y</v>
          </cell>
          <cell r="K691">
            <v>3</v>
          </cell>
        </row>
        <row r="692">
          <cell r="A692" t="str">
            <v>E174</v>
          </cell>
          <cell r="B692">
            <v>2.5223819999999999</v>
          </cell>
          <cell r="C692">
            <v>32.155889999999999</v>
          </cell>
          <cell r="D692">
            <v>2015</v>
          </cell>
          <cell r="E692" t="str">
            <v>Tanzania</v>
          </cell>
          <cell r="F692" t="str">
            <v>Wildtype</v>
          </cell>
          <cell r="G692" t="str">
            <v>MAT1-2</v>
          </cell>
          <cell r="H692" t="str">
            <v>Environmental</v>
          </cell>
          <cell r="I692" t="str">
            <v>F219Y</v>
          </cell>
          <cell r="K692">
            <v>3</v>
          </cell>
        </row>
        <row r="693">
          <cell r="A693" t="str">
            <v>E175</v>
          </cell>
          <cell r="B693">
            <v>2.8316210000000002</v>
          </cell>
          <cell r="C693">
            <v>32.215119999999999</v>
          </cell>
          <cell r="D693">
            <v>2015</v>
          </cell>
          <cell r="E693" t="str">
            <v>Tanzania</v>
          </cell>
          <cell r="F693" t="str">
            <v>Wildtype</v>
          </cell>
          <cell r="G693" t="str">
            <v>MAT1-2</v>
          </cell>
          <cell r="H693" t="str">
            <v>Environmental</v>
          </cell>
          <cell r="I693" t="str">
            <v>Wildtype</v>
          </cell>
          <cell r="K693">
            <v>4</v>
          </cell>
        </row>
        <row r="694">
          <cell r="A694" t="str">
            <v>E176</v>
          </cell>
          <cell r="B694">
            <v>12.601831000000001</v>
          </cell>
          <cell r="C694">
            <v>102.091747</v>
          </cell>
          <cell r="D694">
            <v>2015</v>
          </cell>
          <cell r="E694" t="str">
            <v>Thailand</v>
          </cell>
          <cell r="F694" t="str">
            <v>TR34/L98H</v>
          </cell>
          <cell r="G694" t="str">
            <v>MAT1-2</v>
          </cell>
          <cell r="H694" t="str">
            <v>Environmental</v>
          </cell>
          <cell r="I694" t="str">
            <v>Wildtype</v>
          </cell>
          <cell r="K694">
            <v>1</v>
          </cell>
        </row>
        <row r="695">
          <cell r="A695" t="str">
            <v>E177</v>
          </cell>
          <cell r="B695">
            <v>17.488187</v>
          </cell>
          <cell r="C695">
            <v>101.494309</v>
          </cell>
          <cell r="D695">
            <v>2015</v>
          </cell>
          <cell r="E695" t="str">
            <v>Thailand</v>
          </cell>
          <cell r="F695" t="str">
            <v>TR34/L98H</v>
          </cell>
          <cell r="G695" t="str">
            <v>MAT1-2</v>
          </cell>
          <cell r="H695" t="str">
            <v>Environmental</v>
          </cell>
          <cell r="I695" t="str">
            <v>Wildtype</v>
          </cell>
          <cell r="K695">
            <v>2</v>
          </cell>
        </row>
        <row r="696">
          <cell r="A696" t="str">
            <v>E178</v>
          </cell>
          <cell r="B696">
            <v>14.966809</v>
          </cell>
          <cell r="C696">
            <v>102.096655</v>
          </cell>
          <cell r="D696">
            <v>2015</v>
          </cell>
          <cell r="E696" t="str">
            <v>Thailand</v>
          </cell>
          <cell r="F696" t="str">
            <v>TR34/L98H</v>
          </cell>
          <cell r="G696" t="str">
            <v>MAT1-1</v>
          </cell>
          <cell r="H696" t="str">
            <v>Environmental</v>
          </cell>
          <cell r="I696" t="str">
            <v>Wildtype</v>
          </cell>
          <cell r="K696">
            <v>3</v>
          </cell>
        </row>
        <row r="697">
          <cell r="A697" t="str">
            <v>E179</v>
          </cell>
          <cell r="B697">
            <v>14.022859</v>
          </cell>
          <cell r="C697">
            <v>101.62176599999999</v>
          </cell>
          <cell r="D697">
            <v>2015</v>
          </cell>
          <cell r="E697" t="str">
            <v>Thailand</v>
          </cell>
          <cell r="F697" t="str">
            <v>TR34/L98H</v>
          </cell>
          <cell r="G697" t="str">
            <v>MAT1-2</v>
          </cell>
          <cell r="H697" t="str">
            <v>Environmental</v>
          </cell>
          <cell r="I697" t="str">
            <v>Wildtype</v>
          </cell>
          <cell r="K697">
            <v>2</v>
          </cell>
        </row>
        <row r="698">
          <cell r="A698" t="str">
            <v>E18</v>
          </cell>
          <cell r="B698">
            <v>51.839927000000003</v>
          </cell>
          <cell r="C698">
            <v>-4.1514860000000002</v>
          </cell>
          <cell r="D698">
            <v>2015</v>
          </cell>
          <cell r="E698" t="str">
            <v>UK</v>
          </cell>
          <cell r="F698" t="str">
            <v>TR34/L98H</v>
          </cell>
          <cell r="G698" t="str">
            <v>MAT1-2</v>
          </cell>
          <cell r="H698" t="str">
            <v>Environmental</v>
          </cell>
          <cell r="I698" t="str">
            <v>Wildtype</v>
          </cell>
          <cell r="J698" t="str">
            <v>&gt;16</v>
          </cell>
          <cell r="K698">
            <v>3</v>
          </cell>
        </row>
        <row r="699">
          <cell r="A699" t="str">
            <v>E180</v>
          </cell>
          <cell r="B699">
            <v>23.762833000000001</v>
          </cell>
          <cell r="C699">
            <v>120.352996</v>
          </cell>
          <cell r="D699">
            <v>2015</v>
          </cell>
          <cell r="E699" t="str">
            <v xml:space="preserve">Taiwan </v>
          </cell>
          <cell r="F699" t="str">
            <v>TR34/L98H</v>
          </cell>
          <cell r="G699" t="str">
            <v>MAT1-2</v>
          </cell>
          <cell r="H699" t="str">
            <v>Environmental</v>
          </cell>
          <cell r="I699" t="str">
            <v>Wildtype</v>
          </cell>
          <cell r="K699">
            <v>4</v>
          </cell>
        </row>
        <row r="700">
          <cell r="A700" t="str">
            <v>E181</v>
          </cell>
          <cell r="B700">
            <v>24.186361999999999</v>
          </cell>
          <cell r="C700">
            <v>120.813869</v>
          </cell>
          <cell r="D700">
            <v>2016</v>
          </cell>
          <cell r="E700" t="str">
            <v xml:space="preserve">Taiwan </v>
          </cell>
          <cell r="F700" t="str">
            <v>TR34/L98H</v>
          </cell>
          <cell r="G700" t="str">
            <v>MAT1-2</v>
          </cell>
          <cell r="H700" t="str">
            <v>Environmental</v>
          </cell>
          <cell r="I700" t="str">
            <v>Wildtype</v>
          </cell>
          <cell r="K700">
            <v>3</v>
          </cell>
        </row>
        <row r="701">
          <cell r="A701" t="str">
            <v>E182</v>
          </cell>
          <cell r="B701">
            <v>25.109649000000001</v>
          </cell>
          <cell r="C701">
            <v>121.5702</v>
          </cell>
          <cell r="D701">
            <v>2016</v>
          </cell>
          <cell r="E701" t="str">
            <v xml:space="preserve">Taiwan </v>
          </cell>
          <cell r="F701" t="str">
            <v>TR34/L98H</v>
          </cell>
          <cell r="G701" t="str">
            <v>MAT1-1</v>
          </cell>
          <cell r="H701" t="str">
            <v>Environmental</v>
          </cell>
          <cell r="I701" t="str">
            <v>Wildtype</v>
          </cell>
          <cell r="K701">
            <v>3</v>
          </cell>
        </row>
        <row r="702">
          <cell r="A702" t="str">
            <v>E183</v>
          </cell>
          <cell r="B702">
            <v>23.953389999999999</v>
          </cell>
          <cell r="C702">
            <v>121.40586999999999</v>
          </cell>
          <cell r="D702">
            <v>2015</v>
          </cell>
          <cell r="E702" t="str">
            <v xml:space="preserve">Taiwan </v>
          </cell>
          <cell r="F702" t="str">
            <v>TR34/L98H</v>
          </cell>
          <cell r="G702" t="str">
            <v>MAT1-2</v>
          </cell>
          <cell r="H702" t="str">
            <v>Environmental</v>
          </cell>
          <cell r="I702" t="str">
            <v>Wildtype</v>
          </cell>
          <cell r="K702">
            <v>3</v>
          </cell>
        </row>
        <row r="703">
          <cell r="A703" t="str">
            <v>E184</v>
          </cell>
          <cell r="B703">
            <v>25.079108000000002</v>
          </cell>
          <cell r="C703">
            <v>121.38849999999999</v>
          </cell>
          <cell r="D703">
            <v>2015</v>
          </cell>
          <cell r="E703" t="str">
            <v xml:space="preserve">Taiwan </v>
          </cell>
          <cell r="F703" t="str">
            <v>Wildtype</v>
          </cell>
          <cell r="G703" t="str">
            <v>MAT1-2</v>
          </cell>
          <cell r="H703" t="str">
            <v>Environmental</v>
          </cell>
          <cell r="I703" t="str">
            <v>Wildtype</v>
          </cell>
          <cell r="K703">
            <v>1</v>
          </cell>
        </row>
        <row r="704">
          <cell r="A704" t="str">
            <v>E185</v>
          </cell>
          <cell r="B704">
            <v>23.050888</v>
          </cell>
          <cell r="C704">
            <v>121.164519</v>
          </cell>
          <cell r="D704">
            <v>2015</v>
          </cell>
          <cell r="E704" t="str">
            <v xml:space="preserve">Taiwan </v>
          </cell>
          <cell r="F704" t="str">
            <v>TR34/L98H</v>
          </cell>
          <cell r="G704" t="str">
            <v>MAT1-2</v>
          </cell>
          <cell r="H704" t="str">
            <v>Environmental</v>
          </cell>
          <cell r="I704" t="str">
            <v>Wildtype</v>
          </cell>
          <cell r="K704">
            <v>1</v>
          </cell>
        </row>
        <row r="705">
          <cell r="A705" t="str">
            <v>E186</v>
          </cell>
          <cell r="B705">
            <v>24.502326</v>
          </cell>
          <cell r="C705">
            <v>120.838267</v>
          </cell>
          <cell r="D705">
            <v>2015</v>
          </cell>
          <cell r="E705" t="str">
            <v xml:space="preserve">Taiwan </v>
          </cell>
          <cell r="F705" t="str">
            <v>Wildtype</v>
          </cell>
          <cell r="G705" t="str">
            <v>MAT1-1</v>
          </cell>
          <cell r="H705" t="str">
            <v>Environmental</v>
          </cell>
          <cell r="I705" t="str">
            <v>Wildtype</v>
          </cell>
          <cell r="K705">
            <v>4</v>
          </cell>
        </row>
        <row r="706">
          <cell r="A706" t="str">
            <v>E187</v>
          </cell>
          <cell r="B706">
            <v>22.782195999999999</v>
          </cell>
          <cell r="C706">
            <v>120.378147</v>
          </cell>
          <cell r="D706">
            <v>2015</v>
          </cell>
          <cell r="E706" t="str">
            <v xml:space="preserve">Taiwan </v>
          </cell>
          <cell r="F706" t="str">
            <v>Wildtype</v>
          </cell>
          <cell r="G706" t="str">
            <v>MAT1-2</v>
          </cell>
          <cell r="H706" t="str">
            <v>Environmental</v>
          </cell>
          <cell r="I706" t="str">
            <v>Wildtype</v>
          </cell>
          <cell r="K706">
            <v>1</v>
          </cell>
        </row>
        <row r="707">
          <cell r="A707" t="str">
            <v>E188</v>
          </cell>
          <cell r="B707">
            <v>23.98967</v>
          </cell>
          <cell r="C707">
            <v>120.56588000000001</v>
          </cell>
          <cell r="D707">
            <v>2016</v>
          </cell>
          <cell r="E707" t="str">
            <v xml:space="preserve">Taiwan </v>
          </cell>
          <cell r="F707" t="str">
            <v>TR34/L98H</v>
          </cell>
          <cell r="G707" t="str">
            <v>MAT1-2</v>
          </cell>
          <cell r="H707" t="str">
            <v>Environmental</v>
          </cell>
          <cell r="I707" t="str">
            <v>Wildtype</v>
          </cell>
          <cell r="K707">
            <v>4</v>
          </cell>
        </row>
        <row r="708">
          <cell r="A708" t="str">
            <v>E189</v>
          </cell>
          <cell r="B708">
            <v>-6.3690280000000001</v>
          </cell>
          <cell r="C708">
            <v>34.888821</v>
          </cell>
          <cell r="D708">
            <v>2015</v>
          </cell>
          <cell r="E708" t="str">
            <v>Tanzania</v>
          </cell>
          <cell r="F708" t="str">
            <v>Wildtype</v>
          </cell>
          <cell r="G708">
            <v>0</v>
          </cell>
          <cell r="H708" t="str">
            <v>Environmental</v>
          </cell>
          <cell r="I708" t="str">
            <v>Wildtype</v>
          </cell>
          <cell r="K708">
            <v>1</v>
          </cell>
        </row>
        <row r="709">
          <cell r="A709" t="str">
            <v>E19</v>
          </cell>
          <cell r="B709">
            <v>51.839927000000003</v>
          </cell>
          <cell r="C709">
            <v>-4.1514860000000002</v>
          </cell>
          <cell r="D709">
            <v>2015</v>
          </cell>
          <cell r="E709" t="str">
            <v>UK</v>
          </cell>
          <cell r="F709" t="str">
            <v>TR34/L98H</v>
          </cell>
          <cell r="G709" t="str">
            <v>MAT1-2</v>
          </cell>
          <cell r="H709" t="str">
            <v>Environmental</v>
          </cell>
          <cell r="I709" t="str">
            <v>Wildtype</v>
          </cell>
          <cell r="J709" t="str">
            <v>&gt;16</v>
          </cell>
          <cell r="K709">
            <v>3</v>
          </cell>
        </row>
        <row r="710">
          <cell r="A710" t="str">
            <v>E190</v>
          </cell>
          <cell r="B710">
            <v>51.608440000000002</v>
          </cell>
          <cell r="C710">
            <v>-1.2448399999999999</v>
          </cell>
          <cell r="D710">
            <v>2017</v>
          </cell>
          <cell r="E710" t="str">
            <v>UK</v>
          </cell>
          <cell r="F710" t="str">
            <v>TR34/L98H</v>
          </cell>
          <cell r="G710" t="str">
            <v>MAT1-1</v>
          </cell>
          <cell r="H710" t="str">
            <v>Environmental</v>
          </cell>
          <cell r="I710" t="str">
            <v>Wildtype</v>
          </cell>
          <cell r="K710">
            <v>3</v>
          </cell>
        </row>
        <row r="711">
          <cell r="A711" t="str">
            <v>E191</v>
          </cell>
          <cell r="B711">
            <v>51.512839999999997</v>
          </cell>
          <cell r="C711">
            <v>-0.16145000000000001</v>
          </cell>
          <cell r="D711">
            <v>2017</v>
          </cell>
          <cell r="E711" t="str">
            <v>UK</v>
          </cell>
          <cell r="F711" t="str">
            <v>TR34/L98H</v>
          </cell>
          <cell r="G711" t="str">
            <v>MAT1-2</v>
          </cell>
          <cell r="H711" t="str">
            <v>Environmental</v>
          </cell>
          <cell r="I711" t="str">
            <v>F219Y</v>
          </cell>
          <cell r="K711">
            <v>3</v>
          </cell>
        </row>
        <row r="712">
          <cell r="A712" t="str">
            <v>E192</v>
          </cell>
          <cell r="B712">
            <v>51.512839999999997</v>
          </cell>
          <cell r="C712">
            <v>-0.16145000000000001</v>
          </cell>
          <cell r="D712">
            <v>2017</v>
          </cell>
          <cell r="E712" t="str">
            <v>UK</v>
          </cell>
          <cell r="F712" t="str">
            <v>Wildtype</v>
          </cell>
          <cell r="G712" t="str">
            <v>MAT1-2</v>
          </cell>
          <cell r="H712" t="str">
            <v>Environmental</v>
          </cell>
          <cell r="I712" t="str">
            <v>Wildtype</v>
          </cell>
          <cell r="K712">
            <v>5</v>
          </cell>
        </row>
        <row r="713">
          <cell r="A713" t="str">
            <v>E193</v>
          </cell>
          <cell r="B713">
            <v>51.512839999999997</v>
          </cell>
          <cell r="C713">
            <v>-0.16145000000000001</v>
          </cell>
          <cell r="D713">
            <v>2017</v>
          </cell>
          <cell r="E713" t="str">
            <v>UK</v>
          </cell>
          <cell r="F713" t="str">
            <v>Wildtype</v>
          </cell>
          <cell r="G713" t="str">
            <v>MAT1-1</v>
          </cell>
          <cell r="H713" t="str">
            <v>Environmental</v>
          </cell>
          <cell r="I713" t="str">
            <v>Wildtype</v>
          </cell>
          <cell r="K713">
            <v>5</v>
          </cell>
        </row>
        <row r="714">
          <cell r="A714" t="str">
            <v>E194</v>
          </cell>
          <cell r="B714">
            <v>51.512839999999997</v>
          </cell>
          <cell r="C714">
            <v>-0.16145000000000001</v>
          </cell>
          <cell r="D714">
            <v>2017</v>
          </cell>
          <cell r="E714" t="str">
            <v>UK</v>
          </cell>
          <cell r="F714" t="str">
            <v>Wildtype</v>
          </cell>
          <cell r="G714" t="str">
            <v>MAT1-2</v>
          </cell>
          <cell r="H714" t="str">
            <v>Environmental</v>
          </cell>
          <cell r="I714" t="str">
            <v>Wildtype</v>
          </cell>
          <cell r="K714">
            <v>5</v>
          </cell>
        </row>
        <row r="715">
          <cell r="A715" t="str">
            <v>E195</v>
          </cell>
          <cell r="B715">
            <v>51.512839999999997</v>
          </cell>
          <cell r="C715">
            <v>-0.16145000000000001</v>
          </cell>
          <cell r="D715">
            <v>2017</v>
          </cell>
          <cell r="E715" t="str">
            <v>UK</v>
          </cell>
          <cell r="F715" t="str">
            <v>Wildtype</v>
          </cell>
          <cell r="G715" t="str">
            <v>MAT1-2</v>
          </cell>
          <cell r="H715" t="str">
            <v>Environmental</v>
          </cell>
          <cell r="I715" t="str">
            <v>Wildtype</v>
          </cell>
          <cell r="K715">
            <v>5</v>
          </cell>
        </row>
        <row r="716">
          <cell r="A716" t="str">
            <v>E196</v>
          </cell>
          <cell r="B716">
            <v>6.2506399999999998</v>
          </cell>
          <cell r="C716">
            <v>-75.570359999999994</v>
          </cell>
          <cell r="D716">
            <v>2017</v>
          </cell>
          <cell r="E716" t="str">
            <v>Colombia</v>
          </cell>
          <cell r="F716" t="str">
            <v>TR34/L98H</v>
          </cell>
          <cell r="G716" t="str">
            <v>MAT1-1</v>
          </cell>
          <cell r="H716" t="str">
            <v>Environmental</v>
          </cell>
          <cell r="I716" t="str">
            <v>F219Y</v>
          </cell>
          <cell r="K716">
            <v>3</v>
          </cell>
        </row>
        <row r="717">
          <cell r="A717" t="str">
            <v>E197</v>
          </cell>
          <cell r="B717">
            <v>6.2506399999999998</v>
          </cell>
          <cell r="C717">
            <v>-75.570359999999994</v>
          </cell>
          <cell r="D717">
            <v>2017</v>
          </cell>
          <cell r="E717" t="str">
            <v>Colombia</v>
          </cell>
          <cell r="F717" t="str">
            <v>TR34/L98H</v>
          </cell>
          <cell r="G717" t="str">
            <v>MAT1-2</v>
          </cell>
          <cell r="H717" t="str">
            <v>Environmental</v>
          </cell>
          <cell r="I717" t="str">
            <v>F219Y</v>
          </cell>
          <cell r="K717">
            <v>3</v>
          </cell>
        </row>
        <row r="718">
          <cell r="A718" t="str">
            <v>E198</v>
          </cell>
          <cell r="B718">
            <v>6.2506399999999998</v>
          </cell>
          <cell r="C718">
            <v>-75.570359999999994</v>
          </cell>
          <cell r="D718">
            <v>2017</v>
          </cell>
          <cell r="E718" t="str">
            <v>Colombia</v>
          </cell>
          <cell r="F718" t="str">
            <v>TR46/Y121F/T289A</v>
          </cell>
          <cell r="G718" t="str">
            <v>MAT1-1</v>
          </cell>
          <cell r="H718" t="str">
            <v>Environmental</v>
          </cell>
          <cell r="I718" t="str">
            <v>F219Y</v>
          </cell>
          <cell r="K718">
            <v>4</v>
          </cell>
        </row>
        <row r="719">
          <cell r="A719" t="str">
            <v>E199</v>
          </cell>
          <cell r="B719">
            <v>6.2506399999999998</v>
          </cell>
          <cell r="C719">
            <v>-75.570359999999994</v>
          </cell>
          <cell r="D719">
            <v>2017</v>
          </cell>
          <cell r="E719" t="str">
            <v>Colombia</v>
          </cell>
          <cell r="F719" t="str">
            <v>TR46/Y121F/T289A</v>
          </cell>
          <cell r="G719" t="str">
            <v>MAT1-2</v>
          </cell>
          <cell r="H719" t="str">
            <v>Environmental</v>
          </cell>
          <cell r="I719" t="str">
            <v>F219Y</v>
          </cell>
          <cell r="K719">
            <v>3</v>
          </cell>
        </row>
        <row r="720">
          <cell r="A720" t="str">
            <v>E2</v>
          </cell>
          <cell r="B720">
            <v>52.132632999999998</v>
          </cell>
          <cell r="C720">
            <v>5.2912660000000002</v>
          </cell>
          <cell r="D720">
            <v>2008</v>
          </cell>
          <cell r="E720" t="str">
            <v>Netherlands</v>
          </cell>
          <cell r="F720" t="str">
            <v>Wildtype</v>
          </cell>
          <cell r="G720" t="str">
            <v>MAT1-1</v>
          </cell>
          <cell r="H720" t="str">
            <v>Environmental</v>
          </cell>
          <cell r="I720" t="str">
            <v>Wildtype</v>
          </cell>
          <cell r="J720">
            <v>0.25</v>
          </cell>
          <cell r="K720">
            <v>4</v>
          </cell>
        </row>
        <row r="721">
          <cell r="A721" t="str">
            <v>E20</v>
          </cell>
          <cell r="B721">
            <v>51.418405999999997</v>
          </cell>
          <cell r="C721">
            <v>-3.3708369999999999</v>
          </cell>
          <cell r="D721">
            <v>2015</v>
          </cell>
          <cell r="E721" t="str">
            <v>UK</v>
          </cell>
          <cell r="F721" t="str">
            <v>TR34/L98H</v>
          </cell>
          <cell r="G721" t="str">
            <v>MAT1-2</v>
          </cell>
          <cell r="H721" t="str">
            <v>Environmental</v>
          </cell>
          <cell r="I721" t="str">
            <v>F219Y</v>
          </cell>
          <cell r="J721" t="str">
            <v>&gt;16</v>
          </cell>
          <cell r="K721">
            <v>3</v>
          </cell>
        </row>
        <row r="722">
          <cell r="A722" t="str">
            <v>E200</v>
          </cell>
          <cell r="B722">
            <v>6.2506399999999998</v>
          </cell>
          <cell r="C722">
            <v>-75.570359999999994</v>
          </cell>
          <cell r="D722">
            <v>2017</v>
          </cell>
          <cell r="E722" t="str">
            <v>Colombia</v>
          </cell>
          <cell r="F722" t="str">
            <v>TR46/Y121F/T289A</v>
          </cell>
          <cell r="G722" t="str">
            <v>MAT1-2</v>
          </cell>
          <cell r="H722" t="str">
            <v>Environmental</v>
          </cell>
          <cell r="I722" t="str">
            <v>F219Y</v>
          </cell>
          <cell r="K722">
            <v>3</v>
          </cell>
        </row>
        <row r="723">
          <cell r="A723" t="str">
            <v>E201</v>
          </cell>
          <cell r="B723">
            <v>57.149715</v>
          </cell>
          <cell r="C723">
            <v>-2.0942780000000001</v>
          </cell>
          <cell r="D723">
            <v>2016</v>
          </cell>
          <cell r="E723" t="str">
            <v>UK</v>
          </cell>
          <cell r="F723" t="str">
            <v>TR34/L98H</v>
          </cell>
          <cell r="G723" t="str">
            <v>MAT1-1</v>
          </cell>
          <cell r="H723" t="str">
            <v>Environmental</v>
          </cell>
          <cell r="I723" t="str">
            <v>Wildtype</v>
          </cell>
          <cell r="J723">
            <v>4</v>
          </cell>
          <cell r="K723">
            <v>3</v>
          </cell>
        </row>
        <row r="724">
          <cell r="A724" t="str">
            <v>E202</v>
          </cell>
          <cell r="B724">
            <v>57.149715</v>
          </cell>
          <cell r="C724">
            <v>-2.0942780000000001</v>
          </cell>
          <cell r="D724">
            <v>2016</v>
          </cell>
          <cell r="E724" t="str">
            <v>UK</v>
          </cell>
          <cell r="F724" t="str">
            <v>TR34</v>
          </cell>
          <cell r="G724" t="str">
            <v>MAT1-1</v>
          </cell>
          <cell r="H724" t="str">
            <v>Environmental</v>
          </cell>
          <cell r="I724" t="str">
            <v>Wildtype</v>
          </cell>
          <cell r="J724" t="str">
            <v>&gt;16</v>
          </cell>
          <cell r="K724">
            <v>3</v>
          </cell>
        </row>
        <row r="725">
          <cell r="A725" t="str">
            <v>E203</v>
          </cell>
          <cell r="B725">
            <v>57.149715</v>
          </cell>
          <cell r="C725">
            <v>-2.0942780000000001</v>
          </cell>
          <cell r="D725">
            <v>2016</v>
          </cell>
          <cell r="E725" t="str">
            <v>UK</v>
          </cell>
          <cell r="F725" t="str">
            <v>TR34/L98H</v>
          </cell>
          <cell r="G725" t="str">
            <v>MAT1-1</v>
          </cell>
          <cell r="H725" t="str">
            <v>Environmental</v>
          </cell>
          <cell r="I725" t="str">
            <v>Wildtype</v>
          </cell>
          <cell r="K725">
            <v>3</v>
          </cell>
        </row>
        <row r="726">
          <cell r="A726" t="str">
            <v>E204</v>
          </cell>
          <cell r="B726">
            <v>57.149715</v>
          </cell>
          <cell r="C726">
            <v>-2.0942780000000001</v>
          </cell>
          <cell r="D726">
            <v>2016</v>
          </cell>
          <cell r="E726" t="str">
            <v>UK</v>
          </cell>
          <cell r="F726" t="str">
            <v>Wildtype</v>
          </cell>
          <cell r="G726" t="str">
            <v>MAT1-2</v>
          </cell>
          <cell r="H726" t="str">
            <v>Environmental</v>
          </cell>
          <cell r="I726" t="str">
            <v>Wildtype</v>
          </cell>
          <cell r="J726">
            <v>1</v>
          </cell>
          <cell r="K726">
            <v>5</v>
          </cell>
        </row>
        <row r="727">
          <cell r="A727" t="str">
            <v>E205</v>
          </cell>
          <cell r="B727">
            <v>57.149715</v>
          </cell>
          <cell r="C727">
            <v>-2.0942780000000001</v>
          </cell>
          <cell r="D727">
            <v>2016</v>
          </cell>
          <cell r="E727" t="str">
            <v>UK</v>
          </cell>
          <cell r="F727" t="str">
            <v>TR34/L98H</v>
          </cell>
          <cell r="G727" t="str">
            <v>MAT1-2</v>
          </cell>
          <cell r="H727" t="str">
            <v>Environmental</v>
          </cell>
          <cell r="I727" t="str">
            <v>Wildtype</v>
          </cell>
          <cell r="J727">
            <v>4</v>
          </cell>
          <cell r="K727">
            <v>2</v>
          </cell>
        </row>
        <row r="728">
          <cell r="A728" t="str">
            <v>E206</v>
          </cell>
          <cell r="B728">
            <v>57.149715</v>
          </cell>
          <cell r="C728">
            <v>-2.0942780000000001</v>
          </cell>
          <cell r="D728">
            <v>2016</v>
          </cell>
          <cell r="E728" t="str">
            <v>UK</v>
          </cell>
          <cell r="F728" t="str">
            <v>TR34/L98H</v>
          </cell>
          <cell r="G728" t="str">
            <v>MAT1-1</v>
          </cell>
          <cell r="H728" t="str">
            <v>Environmental</v>
          </cell>
          <cell r="I728" t="str">
            <v>Wildtype</v>
          </cell>
          <cell r="J728">
            <v>1</v>
          </cell>
          <cell r="K728">
            <v>3</v>
          </cell>
        </row>
        <row r="729">
          <cell r="A729" t="str">
            <v>E207</v>
          </cell>
          <cell r="B729">
            <v>43.824849999999998</v>
          </cell>
          <cell r="C729">
            <v>143.84175999999999</v>
          </cell>
          <cell r="D729">
            <v>2013</v>
          </cell>
          <cell r="E729" t="str">
            <v>Japan</v>
          </cell>
          <cell r="F729" t="str">
            <v>Wildtype</v>
          </cell>
          <cell r="G729" t="str">
            <v>MAT1-2</v>
          </cell>
          <cell r="H729" t="str">
            <v>Environmental</v>
          </cell>
          <cell r="I729" t="str">
            <v>Wildtype</v>
          </cell>
          <cell r="K729">
            <v>5</v>
          </cell>
        </row>
        <row r="730">
          <cell r="A730" t="str">
            <v>E208</v>
          </cell>
          <cell r="B730">
            <v>43.824849999999998</v>
          </cell>
          <cell r="C730">
            <v>143.84175999999999</v>
          </cell>
          <cell r="D730">
            <v>2013</v>
          </cell>
          <cell r="E730" t="str">
            <v>Japan</v>
          </cell>
          <cell r="F730" t="str">
            <v>Wildtype</v>
          </cell>
          <cell r="G730" t="str">
            <v>MAT1-2</v>
          </cell>
          <cell r="H730" t="str">
            <v>Environmental</v>
          </cell>
          <cell r="I730" t="str">
            <v>Wildtype</v>
          </cell>
          <cell r="K730">
            <v>5</v>
          </cell>
        </row>
        <row r="731">
          <cell r="A731" t="str">
            <v>E209</v>
          </cell>
          <cell r="B731">
            <v>43.824849999999998</v>
          </cell>
          <cell r="C731">
            <v>143.84175999999999</v>
          </cell>
          <cell r="D731">
            <v>2013</v>
          </cell>
          <cell r="E731" t="str">
            <v>Japan</v>
          </cell>
          <cell r="F731" t="str">
            <v>Wildtype</v>
          </cell>
          <cell r="G731" t="str">
            <v>MAT1-2</v>
          </cell>
          <cell r="H731" t="str">
            <v>Environmental</v>
          </cell>
          <cell r="I731" t="str">
            <v>Wildtype</v>
          </cell>
          <cell r="K731">
            <v>4</v>
          </cell>
        </row>
        <row r="732">
          <cell r="A732" t="str">
            <v>E21</v>
          </cell>
          <cell r="B732">
            <v>51.418405999999997</v>
          </cell>
          <cell r="C732">
            <v>-3.3708369999999999</v>
          </cell>
          <cell r="D732">
            <v>2015</v>
          </cell>
          <cell r="E732" t="str">
            <v>UK</v>
          </cell>
          <cell r="F732" t="str">
            <v>TR34/L98H</v>
          </cell>
          <cell r="G732" t="str">
            <v>MAT1-2</v>
          </cell>
          <cell r="H732" t="str">
            <v>Environmental</v>
          </cell>
          <cell r="I732" t="str">
            <v>F219Y</v>
          </cell>
          <cell r="J732" t="str">
            <v>&gt;16</v>
          </cell>
          <cell r="K732">
            <v>3</v>
          </cell>
        </row>
        <row r="733">
          <cell r="A733" t="str">
            <v>E210</v>
          </cell>
          <cell r="B733">
            <v>43.824849999999998</v>
          </cell>
          <cell r="C733">
            <v>143.84175999999999</v>
          </cell>
          <cell r="D733">
            <v>2013</v>
          </cell>
          <cell r="E733" t="str">
            <v>Japan</v>
          </cell>
          <cell r="F733" t="str">
            <v>Wildtype</v>
          </cell>
          <cell r="G733" t="str">
            <v>MAT1-1</v>
          </cell>
          <cell r="H733" t="str">
            <v>Environmental</v>
          </cell>
          <cell r="I733" t="str">
            <v>Wildtype</v>
          </cell>
          <cell r="K733">
            <v>3</v>
          </cell>
        </row>
        <row r="734">
          <cell r="A734" t="str">
            <v>E211</v>
          </cell>
          <cell r="B734">
            <v>43.824849999999998</v>
          </cell>
          <cell r="C734">
            <v>143.84175999999999</v>
          </cell>
          <cell r="D734">
            <v>2013</v>
          </cell>
          <cell r="E734" t="str">
            <v>Japan</v>
          </cell>
          <cell r="F734" t="str">
            <v>Wildtype</v>
          </cell>
          <cell r="G734" t="str">
            <v>MAT1-1</v>
          </cell>
          <cell r="H734" t="str">
            <v>Environmental</v>
          </cell>
          <cell r="I734" t="str">
            <v>Wildtype</v>
          </cell>
          <cell r="K734">
            <v>5</v>
          </cell>
        </row>
        <row r="735">
          <cell r="A735" t="str">
            <v>E212</v>
          </cell>
          <cell r="B735">
            <v>43.824849999999998</v>
          </cell>
          <cell r="C735">
            <v>143.84175999999999</v>
          </cell>
          <cell r="D735">
            <v>2013</v>
          </cell>
          <cell r="E735" t="str">
            <v>Japan</v>
          </cell>
          <cell r="F735" t="str">
            <v>Wildtype</v>
          </cell>
          <cell r="G735" t="str">
            <v>MAT1-2</v>
          </cell>
          <cell r="H735" t="str">
            <v>Environmental</v>
          </cell>
          <cell r="I735" t="str">
            <v>Wildtype</v>
          </cell>
          <cell r="K735">
            <v>5</v>
          </cell>
        </row>
        <row r="736">
          <cell r="A736" t="str">
            <v>E213</v>
          </cell>
          <cell r="B736">
            <v>42.800669999999997</v>
          </cell>
          <cell r="C736">
            <v>143.50608299999999</v>
          </cell>
          <cell r="D736">
            <v>2013</v>
          </cell>
          <cell r="E736" t="str">
            <v>Japan</v>
          </cell>
          <cell r="F736" t="str">
            <v>Wildtype</v>
          </cell>
          <cell r="G736" t="str">
            <v>MAT1-2</v>
          </cell>
          <cell r="H736" t="str">
            <v>Environmental</v>
          </cell>
          <cell r="I736" t="str">
            <v>Wildtype</v>
          </cell>
          <cell r="K736">
            <v>3</v>
          </cell>
        </row>
        <row r="737">
          <cell r="A737" t="str">
            <v>E214</v>
          </cell>
          <cell r="B737">
            <v>42.800669999999997</v>
          </cell>
          <cell r="C737">
            <v>143.50608299999999</v>
          </cell>
          <cell r="D737">
            <v>2013</v>
          </cell>
          <cell r="E737" t="str">
            <v>Japan</v>
          </cell>
          <cell r="F737" t="str">
            <v>Wildtype</v>
          </cell>
          <cell r="G737" t="str">
            <v>MAT1-1</v>
          </cell>
          <cell r="H737" t="str">
            <v>Environmental</v>
          </cell>
          <cell r="I737" t="str">
            <v>Wildtype</v>
          </cell>
          <cell r="K737">
            <v>3</v>
          </cell>
        </row>
        <row r="738">
          <cell r="A738" t="str">
            <v>E215</v>
          </cell>
          <cell r="B738">
            <v>42.800669999999997</v>
          </cell>
          <cell r="C738">
            <v>143.50608299999999</v>
          </cell>
          <cell r="D738">
            <v>2013</v>
          </cell>
          <cell r="E738" t="str">
            <v>Japan</v>
          </cell>
          <cell r="F738" t="str">
            <v>Wildtype</v>
          </cell>
          <cell r="G738" t="str">
            <v>MAT1-2</v>
          </cell>
          <cell r="H738" t="str">
            <v>Environmental</v>
          </cell>
          <cell r="I738" t="str">
            <v>Wildtype</v>
          </cell>
          <cell r="K738">
            <v>1</v>
          </cell>
        </row>
        <row r="739">
          <cell r="A739" t="str">
            <v>E216</v>
          </cell>
          <cell r="B739">
            <v>42.800669999999997</v>
          </cell>
          <cell r="C739">
            <v>143.50608299999999</v>
          </cell>
          <cell r="D739">
            <v>2013</v>
          </cell>
          <cell r="E739" t="str">
            <v>Japan</v>
          </cell>
          <cell r="F739" t="str">
            <v>Wildtype</v>
          </cell>
          <cell r="G739" t="str">
            <v>MAT1-2</v>
          </cell>
          <cell r="H739" t="str">
            <v>Environmental</v>
          </cell>
          <cell r="I739" t="str">
            <v>Wildtype</v>
          </cell>
          <cell r="K739">
            <v>3</v>
          </cell>
        </row>
        <row r="740">
          <cell r="A740" t="str">
            <v>E217</v>
          </cell>
          <cell r="B740">
            <v>42.800669999999997</v>
          </cell>
          <cell r="C740">
            <v>143.50608299999999</v>
          </cell>
          <cell r="D740">
            <v>2013</v>
          </cell>
          <cell r="E740" t="str">
            <v>Japan</v>
          </cell>
          <cell r="F740" t="str">
            <v>Wildtype</v>
          </cell>
          <cell r="G740" t="str">
            <v>MAT1-2</v>
          </cell>
          <cell r="H740" t="str">
            <v>Environmental</v>
          </cell>
          <cell r="I740" t="str">
            <v>Wildtype</v>
          </cell>
          <cell r="K740">
            <v>4</v>
          </cell>
        </row>
        <row r="741">
          <cell r="A741" t="str">
            <v>E218</v>
          </cell>
          <cell r="B741">
            <v>42.800669999999997</v>
          </cell>
          <cell r="C741">
            <v>143.50608299999999</v>
          </cell>
          <cell r="D741">
            <v>2013</v>
          </cell>
          <cell r="E741" t="str">
            <v>Japan</v>
          </cell>
          <cell r="F741" t="str">
            <v>Wildtype</v>
          </cell>
          <cell r="G741" t="str">
            <v>MAT1-2</v>
          </cell>
          <cell r="H741" t="str">
            <v>Environmental</v>
          </cell>
          <cell r="I741" t="str">
            <v>Wildtype</v>
          </cell>
          <cell r="K741">
            <v>4</v>
          </cell>
        </row>
        <row r="742">
          <cell r="A742" t="str">
            <v>E219</v>
          </cell>
          <cell r="B742">
            <v>42.800669999999997</v>
          </cell>
          <cell r="C742">
            <v>143.50608299999999</v>
          </cell>
          <cell r="D742">
            <v>2013</v>
          </cell>
          <cell r="E742" t="str">
            <v>Japan</v>
          </cell>
          <cell r="F742" t="str">
            <v>Wildtype</v>
          </cell>
          <cell r="G742" t="str">
            <v>MAT1-2</v>
          </cell>
          <cell r="H742" t="str">
            <v>Environmental</v>
          </cell>
          <cell r="I742" t="str">
            <v>Wildtype</v>
          </cell>
          <cell r="K742">
            <v>4</v>
          </cell>
        </row>
        <row r="743">
          <cell r="A743" t="str">
            <v>E22</v>
          </cell>
          <cell r="B743">
            <v>51.418405999999997</v>
          </cell>
          <cell r="C743">
            <v>-3.3708369999999999</v>
          </cell>
          <cell r="D743">
            <v>2015</v>
          </cell>
          <cell r="E743" t="str">
            <v>UK</v>
          </cell>
          <cell r="F743" t="str">
            <v>TR34/L98H</v>
          </cell>
          <cell r="G743" t="str">
            <v>MAT1-2</v>
          </cell>
          <cell r="H743" t="str">
            <v>Environmental</v>
          </cell>
          <cell r="I743" t="str">
            <v>F219Y</v>
          </cell>
          <cell r="J743" t="str">
            <v>&gt;16</v>
          </cell>
          <cell r="K743">
            <v>3</v>
          </cell>
        </row>
        <row r="744">
          <cell r="A744" t="str">
            <v>E220</v>
          </cell>
          <cell r="B744">
            <v>43.824849999999998</v>
          </cell>
          <cell r="C744">
            <v>143.84175999999999</v>
          </cell>
          <cell r="D744">
            <v>2013</v>
          </cell>
          <cell r="E744" t="str">
            <v>Japan</v>
          </cell>
          <cell r="F744" t="str">
            <v>Wildtype</v>
          </cell>
          <cell r="G744" t="str">
            <v>MAT1-1</v>
          </cell>
          <cell r="H744" t="str">
            <v>Environmental</v>
          </cell>
          <cell r="I744" t="str">
            <v>Wildtype</v>
          </cell>
          <cell r="K744">
            <v>5</v>
          </cell>
        </row>
        <row r="745">
          <cell r="A745" t="str">
            <v>E221</v>
          </cell>
          <cell r="B745">
            <v>42.871876999999998</v>
          </cell>
          <cell r="C745">
            <v>143.174227</v>
          </cell>
          <cell r="D745">
            <v>2013</v>
          </cell>
          <cell r="E745" t="str">
            <v>Japan</v>
          </cell>
          <cell r="F745" t="str">
            <v>Wildtype</v>
          </cell>
          <cell r="G745" t="str">
            <v>MAT1-2</v>
          </cell>
          <cell r="H745" t="str">
            <v>Environmental</v>
          </cell>
          <cell r="I745" t="str">
            <v>Wildtype</v>
          </cell>
          <cell r="K745">
            <v>4</v>
          </cell>
        </row>
        <row r="746">
          <cell r="A746" t="str">
            <v>E222</v>
          </cell>
          <cell r="B746">
            <v>43.824849999999998</v>
          </cell>
          <cell r="C746">
            <v>143.84175999999999</v>
          </cell>
          <cell r="D746">
            <v>2013</v>
          </cell>
          <cell r="E746" t="str">
            <v>Japan</v>
          </cell>
          <cell r="F746" t="str">
            <v>Wildtype</v>
          </cell>
          <cell r="G746" t="str">
            <v>MAT1-2</v>
          </cell>
          <cell r="H746" t="str">
            <v>Environmental</v>
          </cell>
          <cell r="I746" t="str">
            <v>Wildtype</v>
          </cell>
          <cell r="K746">
            <v>5</v>
          </cell>
        </row>
        <row r="747">
          <cell r="A747" t="str">
            <v>E223</v>
          </cell>
          <cell r="B747">
            <v>51.481583000000001</v>
          </cell>
          <cell r="C747">
            <v>-3.17909</v>
          </cell>
          <cell r="E747" t="str">
            <v>UK</v>
          </cell>
          <cell r="F747" t="str">
            <v>TR46/Y121F/T289A</v>
          </cell>
          <cell r="G747" t="str">
            <v>MAT1-2</v>
          </cell>
          <cell r="H747" t="str">
            <v>Environmental</v>
          </cell>
          <cell r="I747" t="str">
            <v>F219Y</v>
          </cell>
          <cell r="K747">
            <v>3</v>
          </cell>
        </row>
        <row r="748">
          <cell r="A748" t="str">
            <v>E224</v>
          </cell>
          <cell r="B748">
            <v>51.481583000000001</v>
          </cell>
          <cell r="C748">
            <v>-3.17909</v>
          </cell>
          <cell r="E748" t="str">
            <v>UK</v>
          </cell>
          <cell r="F748" t="str">
            <v>TR46/Y121F/T289A</v>
          </cell>
          <cell r="G748" t="str">
            <v>MAT1-2</v>
          </cell>
          <cell r="H748" t="str">
            <v>Environmental</v>
          </cell>
          <cell r="I748" t="str">
            <v>F219Y</v>
          </cell>
          <cell r="K748">
            <v>3</v>
          </cell>
        </row>
        <row r="749">
          <cell r="A749" t="str">
            <v>E225</v>
          </cell>
          <cell r="B749">
            <v>54.525962999999997</v>
          </cell>
          <cell r="C749">
            <v>15.255119000000001</v>
          </cell>
          <cell r="D749">
            <v>2015</v>
          </cell>
          <cell r="E749" t="str">
            <v>Europe</v>
          </cell>
          <cell r="F749" t="str">
            <v>Wildtype</v>
          </cell>
          <cell r="G749" t="str">
            <v>MAT1-2</v>
          </cell>
          <cell r="H749" t="str">
            <v>Environmental</v>
          </cell>
          <cell r="I749" t="str">
            <v>Wildtype</v>
          </cell>
          <cell r="K749">
            <v>5</v>
          </cell>
        </row>
        <row r="750">
          <cell r="A750" t="str">
            <v>E226</v>
          </cell>
          <cell r="B750">
            <v>51.815528999999998</v>
          </cell>
          <cell r="C750">
            <v>-0.36065999999999998</v>
          </cell>
          <cell r="D750">
            <v>2015</v>
          </cell>
          <cell r="E750" t="str">
            <v>UK</v>
          </cell>
          <cell r="F750" t="str">
            <v>Wildtype</v>
          </cell>
          <cell r="G750" t="str">
            <v>MAT1-2</v>
          </cell>
          <cell r="H750" t="str">
            <v>Environmental</v>
          </cell>
          <cell r="I750" t="str">
            <v>Wildtype</v>
          </cell>
          <cell r="K750">
            <v>5</v>
          </cell>
        </row>
        <row r="751">
          <cell r="A751" t="str">
            <v>E227</v>
          </cell>
          <cell r="B751">
            <v>-8.7831949999999992</v>
          </cell>
          <cell r="C751">
            <v>-55.491478000000001</v>
          </cell>
          <cell r="D751">
            <v>2015</v>
          </cell>
          <cell r="E751" t="str">
            <v>South America</v>
          </cell>
          <cell r="F751" t="str">
            <v>Wildtype</v>
          </cell>
          <cell r="G751" t="e">
            <v>#N/A</v>
          </cell>
          <cell r="H751" t="str">
            <v>Environmental</v>
          </cell>
          <cell r="I751" t="str">
            <v>Wildtype</v>
          </cell>
          <cell r="K751">
            <v>1</v>
          </cell>
        </row>
        <row r="752">
          <cell r="A752" t="str">
            <v>E228</v>
          </cell>
          <cell r="B752">
            <v>46.818187999999999</v>
          </cell>
          <cell r="C752">
            <v>8.2275120000000008</v>
          </cell>
          <cell r="D752">
            <v>2015</v>
          </cell>
          <cell r="E752" t="str">
            <v>Europe</v>
          </cell>
          <cell r="F752" t="str">
            <v>Wildtype</v>
          </cell>
          <cell r="G752" t="e">
            <v>#N/A</v>
          </cell>
          <cell r="H752" t="str">
            <v>Environmental</v>
          </cell>
          <cell r="I752" t="str">
            <v>Wildtype</v>
          </cell>
          <cell r="K752">
            <v>1</v>
          </cell>
        </row>
        <row r="753">
          <cell r="A753" t="str">
            <v>E229</v>
          </cell>
          <cell r="B753">
            <v>52.132632999999998</v>
          </cell>
          <cell r="C753">
            <v>5.2912660000000002</v>
          </cell>
          <cell r="D753">
            <v>2015</v>
          </cell>
          <cell r="E753" t="str">
            <v>Netherlands</v>
          </cell>
          <cell r="F753" t="str">
            <v>Wildtype</v>
          </cell>
          <cell r="G753">
            <v>0</v>
          </cell>
          <cell r="H753" t="str">
            <v>Environmental</v>
          </cell>
          <cell r="I753" t="str">
            <v>Wildtype</v>
          </cell>
          <cell r="K753">
            <v>1</v>
          </cell>
        </row>
        <row r="754">
          <cell r="A754" t="str">
            <v>E23</v>
          </cell>
          <cell r="B754">
            <v>51.474035000000001</v>
          </cell>
          <cell r="C754">
            <v>-3.4794849999999999</v>
          </cell>
          <cell r="D754">
            <v>2015</v>
          </cell>
          <cell r="E754" t="str">
            <v>UK</v>
          </cell>
          <cell r="F754" t="str">
            <v>TR34/L98H</v>
          </cell>
          <cell r="G754" t="str">
            <v>MAT1-2</v>
          </cell>
          <cell r="H754" t="str">
            <v>Environmental</v>
          </cell>
          <cell r="I754" t="str">
            <v>Wildtype</v>
          </cell>
          <cell r="J754" t="str">
            <v>&gt;16</v>
          </cell>
          <cell r="K754">
            <v>2</v>
          </cell>
        </row>
        <row r="755">
          <cell r="A755" t="str">
            <v>E230</v>
          </cell>
          <cell r="B755">
            <v>52.482899000000003</v>
          </cell>
          <cell r="C755">
            <v>-1.8934599999999999</v>
          </cell>
          <cell r="D755">
            <v>2015</v>
          </cell>
          <cell r="E755" t="str">
            <v>UK</v>
          </cell>
          <cell r="F755" t="str">
            <v>Wildtype</v>
          </cell>
          <cell r="G755">
            <v>0</v>
          </cell>
          <cell r="H755" t="str">
            <v>Environmental</v>
          </cell>
          <cell r="I755" t="str">
            <v>Wildtype</v>
          </cell>
          <cell r="K755">
            <v>1</v>
          </cell>
        </row>
        <row r="756">
          <cell r="A756" t="str">
            <v>E231</v>
          </cell>
          <cell r="B756">
            <v>52.436349999999997</v>
          </cell>
          <cell r="C756">
            <v>-1.6464700000000001</v>
          </cell>
          <cell r="D756">
            <v>2015</v>
          </cell>
          <cell r="E756" t="str">
            <v>UK</v>
          </cell>
          <cell r="F756" t="str">
            <v>Wildtype</v>
          </cell>
          <cell r="G756" t="e">
            <v>#N/A</v>
          </cell>
          <cell r="H756" t="str">
            <v>Environmental</v>
          </cell>
          <cell r="I756" t="str">
            <v>Wildtype</v>
          </cell>
          <cell r="K756">
            <v>1</v>
          </cell>
        </row>
        <row r="757">
          <cell r="A757" t="str">
            <v>E232</v>
          </cell>
          <cell r="B757">
            <v>54.525962999999997</v>
          </cell>
          <cell r="C757">
            <v>-105.25511899999999</v>
          </cell>
          <cell r="D757">
            <v>2017</v>
          </cell>
          <cell r="E757" t="str">
            <v>North America</v>
          </cell>
          <cell r="F757" t="str">
            <v>Wildtype</v>
          </cell>
          <cell r="G757" t="e">
            <v>#N/A</v>
          </cell>
          <cell r="H757" t="str">
            <v>Environmental</v>
          </cell>
          <cell r="I757" t="str">
            <v>Wildtype</v>
          </cell>
          <cell r="K757">
            <v>1</v>
          </cell>
        </row>
        <row r="758">
          <cell r="A758" t="str">
            <v>E233</v>
          </cell>
          <cell r="B758">
            <v>46.818187999999999</v>
          </cell>
          <cell r="C758">
            <v>8.2275120000000008</v>
          </cell>
          <cell r="D758">
            <v>2015</v>
          </cell>
          <cell r="E758" t="str">
            <v>Europe</v>
          </cell>
          <cell r="F758" t="str">
            <v>Wildtype</v>
          </cell>
          <cell r="G758" t="e">
            <v>#N/A</v>
          </cell>
          <cell r="H758" t="str">
            <v>Environmental</v>
          </cell>
          <cell r="I758" t="str">
            <v>Wildtype</v>
          </cell>
          <cell r="K758">
            <v>1</v>
          </cell>
        </row>
        <row r="759">
          <cell r="A759" t="str">
            <v>E234</v>
          </cell>
          <cell r="B759">
            <v>52.482899000000003</v>
          </cell>
          <cell r="C759">
            <v>-1.8934599999999999</v>
          </cell>
          <cell r="D759">
            <v>2015</v>
          </cell>
          <cell r="E759" t="str">
            <v>UK</v>
          </cell>
          <cell r="F759" t="str">
            <v>Wildtype</v>
          </cell>
          <cell r="G759">
            <v>0</v>
          </cell>
          <cell r="H759" t="str">
            <v>Environmental</v>
          </cell>
          <cell r="I759" t="str">
            <v>Wildtype</v>
          </cell>
          <cell r="K759">
            <v>1</v>
          </cell>
        </row>
        <row r="760">
          <cell r="A760" t="str">
            <v>E235</v>
          </cell>
          <cell r="B760">
            <v>52.132632999999998</v>
          </cell>
          <cell r="C760">
            <v>5.2912660000000002</v>
          </cell>
          <cell r="D760">
            <v>2015</v>
          </cell>
          <cell r="E760" t="str">
            <v>Netherlands</v>
          </cell>
          <cell r="F760" t="str">
            <v>TR34/L98H</v>
          </cell>
          <cell r="G760" t="str">
            <v>MAT1-2</v>
          </cell>
          <cell r="H760" t="str">
            <v>Environmental</v>
          </cell>
          <cell r="I760" t="str">
            <v>Wildtype</v>
          </cell>
          <cell r="K760">
            <v>2</v>
          </cell>
        </row>
        <row r="761">
          <cell r="A761" t="str">
            <v>E236</v>
          </cell>
          <cell r="B761">
            <v>34.047863</v>
          </cell>
          <cell r="C761">
            <v>100.619652</v>
          </cell>
          <cell r="D761">
            <v>2015</v>
          </cell>
          <cell r="E761" t="str">
            <v>Asia</v>
          </cell>
          <cell r="F761" t="str">
            <v>TR34/L98H</v>
          </cell>
          <cell r="G761" t="str">
            <v>MAT1-2</v>
          </cell>
          <cell r="H761" t="str">
            <v>Environmental</v>
          </cell>
          <cell r="I761" t="str">
            <v>Wildtype</v>
          </cell>
          <cell r="K761">
            <v>3</v>
          </cell>
        </row>
        <row r="762">
          <cell r="A762" t="str">
            <v>E237</v>
          </cell>
          <cell r="B762">
            <v>34.047863</v>
          </cell>
          <cell r="C762">
            <v>100.619652</v>
          </cell>
          <cell r="D762">
            <v>2015</v>
          </cell>
          <cell r="E762" t="str">
            <v>Asia</v>
          </cell>
          <cell r="F762" t="str">
            <v>TR34/L98H</v>
          </cell>
          <cell r="G762" t="str">
            <v>MAT1-2</v>
          </cell>
          <cell r="H762" t="str">
            <v>Environmental</v>
          </cell>
          <cell r="I762" t="str">
            <v>Wildtype</v>
          </cell>
          <cell r="K762">
            <v>3</v>
          </cell>
        </row>
        <row r="763">
          <cell r="A763" t="str">
            <v>E238</v>
          </cell>
          <cell r="B763">
            <v>52.132632999999998</v>
          </cell>
          <cell r="C763">
            <v>5.2912660000000002</v>
          </cell>
          <cell r="D763">
            <v>2015</v>
          </cell>
          <cell r="E763" t="str">
            <v>Netherlands</v>
          </cell>
          <cell r="F763" t="str">
            <v>TR34/L98H</v>
          </cell>
          <cell r="G763" t="str">
            <v>MAT1-2</v>
          </cell>
          <cell r="H763" t="str">
            <v>Environmental</v>
          </cell>
          <cell r="I763" t="str">
            <v>Wildtype</v>
          </cell>
          <cell r="K763">
            <v>3</v>
          </cell>
        </row>
        <row r="764">
          <cell r="A764" t="str">
            <v>E239</v>
          </cell>
          <cell r="B764">
            <v>52.132632999999998</v>
          </cell>
          <cell r="C764">
            <v>5.2912660000000002</v>
          </cell>
          <cell r="D764">
            <v>2015</v>
          </cell>
          <cell r="E764" t="str">
            <v>Netherlands</v>
          </cell>
          <cell r="F764" t="str">
            <v>TR34/L98H</v>
          </cell>
          <cell r="G764" t="str">
            <v>MAT1-2</v>
          </cell>
          <cell r="H764" t="str">
            <v>Environmental</v>
          </cell>
          <cell r="I764" t="str">
            <v>Wildtype</v>
          </cell>
          <cell r="K764">
            <v>3</v>
          </cell>
        </row>
        <row r="765">
          <cell r="A765" t="str">
            <v>E24</v>
          </cell>
          <cell r="B765">
            <v>51.474035000000001</v>
          </cell>
          <cell r="C765">
            <v>-3.4794849999999999</v>
          </cell>
          <cell r="D765">
            <v>2015</v>
          </cell>
          <cell r="E765" t="str">
            <v>UK</v>
          </cell>
          <cell r="F765" t="str">
            <v>TR34/L98H</v>
          </cell>
          <cell r="G765" t="str">
            <v>MAT1-2</v>
          </cell>
          <cell r="H765" t="str">
            <v>Environmental</v>
          </cell>
          <cell r="I765" t="str">
            <v>Wildtype</v>
          </cell>
          <cell r="J765" t="str">
            <v>&gt;16</v>
          </cell>
          <cell r="K765">
            <v>2</v>
          </cell>
        </row>
        <row r="766">
          <cell r="A766" t="str">
            <v>E240</v>
          </cell>
          <cell r="B766">
            <v>34.047863</v>
          </cell>
          <cell r="C766">
            <v>100.619652</v>
          </cell>
          <cell r="D766">
            <v>2015</v>
          </cell>
          <cell r="E766" t="str">
            <v>Asia</v>
          </cell>
          <cell r="F766" t="str">
            <v>TR34/L98H</v>
          </cell>
          <cell r="G766" t="str">
            <v>MAT1-2</v>
          </cell>
          <cell r="H766" t="str">
            <v>Environmental</v>
          </cell>
          <cell r="I766" t="str">
            <v>Wildtype</v>
          </cell>
          <cell r="K766">
            <v>1</v>
          </cell>
        </row>
        <row r="767">
          <cell r="A767" t="str">
            <v>E241</v>
          </cell>
          <cell r="B767">
            <v>52.132632999999998</v>
          </cell>
          <cell r="C767">
            <v>5.2912660000000002</v>
          </cell>
          <cell r="D767">
            <v>2015</v>
          </cell>
          <cell r="E767" t="str">
            <v>Netherlands</v>
          </cell>
          <cell r="F767" t="str">
            <v>TR34/L98H</v>
          </cell>
          <cell r="G767" t="str">
            <v>MAT1-2</v>
          </cell>
          <cell r="H767" t="str">
            <v>Environmental</v>
          </cell>
          <cell r="I767" t="str">
            <v>Wildtype</v>
          </cell>
          <cell r="K767">
            <v>2</v>
          </cell>
        </row>
        <row r="768">
          <cell r="A768" t="str">
            <v>E242</v>
          </cell>
          <cell r="B768">
            <v>51.815528999999998</v>
          </cell>
          <cell r="C768">
            <v>-0.36065999999999998</v>
          </cell>
          <cell r="D768">
            <v>2015</v>
          </cell>
          <cell r="E768" t="str">
            <v>UK</v>
          </cell>
          <cell r="F768" t="str">
            <v>TR34/L98H</v>
          </cell>
          <cell r="G768" t="str">
            <v>MAT1-2</v>
          </cell>
          <cell r="H768" t="str">
            <v>Environmental</v>
          </cell>
          <cell r="I768" t="str">
            <v>Wildtype</v>
          </cell>
          <cell r="K768">
            <v>2</v>
          </cell>
        </row>
        <row r="769">
          <cell r="A769" t="str">
            <v>E243</v>
          </cell>
          <cell r="B769">
            <v>54.525962999999997</v>
          </cell>
          <cell r="C769">
            <v>15.255119000000001</v>
          </cell>
          <cell r="D769">
            <v>2015</v>
          </cell>
          <cell r="E769" t="str">
            <v>Europe</v>
          </cell>
          <cell r="F769" t="str">
            <v>TR34/L98H</v>
          </cell>
          <cell r="G769" t="str">
            <v>MAT1-2</v>
          </cell>
          <cell r="H769" t="str">
            <v>Environmental</v>
          </cell>
          <cell r="I769" t="str">
            <v>Wildtype</v>
          </cell>
          <cell r="K769">
            <v>2</v>
          </cell>
        </row>
        <row r="770">
          <cell r="A770" t="str">
            <v>E244</v>
          </cell>
          <cell r="B770">
            <v>52.132632999999998</v>
          </cell>
          <cell r="C770">
            <v>5.2912660000000002</v>
          </cell>
          <cell r="D770">
            <v>2015</v>
          </cell>
          <cell r="E770" t="str">
            <v>Netherlands</v>
          </cell>
          <cell r="F770" t="str">
            <v>TR34/L98H</v>
          </cell>
          <cell r="G770" t="str">
            <v>MAT1-2</v>
          </cell>
          <cell r="H770" t="str">
            <v>Environmental</v>
          </cell>
          <cell r="I770" t="str">
            <v>Wildtype</v>
          </cell>
          <cell r="K770">
            <v>2</v>
          </cell>
        </row>
        <row r="771">
          <cell r="A771" t="str">
            <v>E245</v>
          </cell>
          <cell r="B771">
            <v>52.132632999999998</v>
          </cell>
          <cell r="C771">
            <v>5.2912660000000002</v>
          </cell>
          <cell r="D771">
            <v>2015</v>
          </cell>
          <cell r="E771" t="str">
            <v>Netherlands</v>
          </cell>
          <cell r="F771" t="str">
            <v>TR34/L98H</v>
          </cell>
          <cell r="G771" t="str">
            <v>MAT1-2</v>
          </cell>
          <cell r="H771" t="str">
            <v>Environmental</v>
          </cell>
          <cell r="I771" t="str">
            <v>F219Y</v>
          </cell>
          <cell r="K771">
            <v>3</v>
          </cell>
        </row>
        <row r="772">
          <cell r="A772" t="str">
            <v>E246</v>
          </cell>
          <cell r="B772">
            <v>-22.735910000000001</v>
          </cell>
          <cell r="C772">
            <v>140.01876799999999</v>
          </cell>
          <cell r="D772">
            <v>2015</v>
          </cell>
          <cell r="E772" t="str">
            <v>Oceania</v>
          </cell>
          <cell r="F772" t="str">
            <v>TR34/L98H</v>
          </cell>
          <cell r="G772" t="str">
            <v>MAT1-2</v>
          </cell>
          <cell r="H772" t="str">
            <v>Environmental</v>
          </cell>
          <cell r="I772" t="str">
            <v>F219Y</v>
          </cell>
          <cell r="K772">
            <v>3</v>
          </cell>
        </row>
        <row r="773">
          <cell r="A773" t="str">
            <v>E247</v>
          </cell>
          <cell r="B773">
            <v>51.815528999999998</v>
          </cell>
          <cell r="C773">
            <v>-0.36065999999999998</v>
          </cell>
          <cell r="D773">
            <v>2015</v>
          </cell>
          <cell r="E773" t="str">
            <v>UK</v>
          </cell>
          <cell r="F773" t="str">
            <v>TR34/L98H</v>
          </cell>
          <cell r="G773" t="str">
            <v>MAT1-2</v>
          </cell>
          <cell r="H773" t="str">
            <v>Environmental</v>
          </cell>
          <cell r="I773" t="str">
            <v>Wildtype</v>
          </cell>
          <cell r="K773">
            <v>3</v>
          </cell>
        </row>
        <row r="774">
          <cell r="A774" t="str">
            <v>E248</v>
          </cell>
          <cell r="B774">
            <v>52.132632999999998</v>
          </cell>
          <cell r="C774">
            <v>5.2912660000000002</v>
          </cell>
          <cell r="D774">
            <v>2015</v>
          </cell>
          <cell r="E774" t="str">
            <v>Netherlands</v>
          </cell>
          <cell r="F774" t="str">
            <v>TR34/L98H</v>
          </cell>
          <cell r="G774" t="str">
            <v>MAT1-2</v>
          </cell>
          <cell r="H774" t="str">
            <v>Environmental</v>
          </cell>
          <cell r="I774" t="str">
            <v>F219Y</v>
          </cell>
          <cell r="K774">
            <v>3</v>
          </cell>
        </row>
        <row r="775">
          <cell r="A775" t="str">
            <v>E249</v>
          </cell>
          <cell r="B775">
            <v>52.132632999999998</v>
          </cell>
          <cell r="C775">
            <v>5.2912660000000002</v>
          </cell>
          <cell r="D775">
            <v>2015</v>
          </cell>
          <cell r="E775" t="str">
            <v>Netherlands</v>
          </cell>
          <cell r="F775" t="str">
            <v>TR34/L98H/T289A</v>
          </cell>
          <cell r="G775" t="str">
            <v>MAT1-2</v>
          </cell>
          <cell r="H775" t="str">
            <v>Environmental</v>
          </cell>
          <cell r="I775" t="str">
            <v>F219Y</v>
          </cell>
          <cell r="K775">
            <v>3</v>
          </cell>
        </row>
        <row r="776">
          <cell r="A776" t="str">
            <v>E25</v>
          </cell>
          <cell r="B776">
            <v>51.474035000000001</v>
          </cell>
          <cell r="C776">
            <v>-3.4794849999999999</v>
          </cell>
          <cell r="D776">
            <v>2015</v>
          </cell>
          <cell r="E776" t="str">
            <v>UK</v>
          </cell>
          <cell r="F776" t="str">
            <v>TR34/L98H</v>
          </cell>
          <cell r="G776" t="str">
            <v>MAT1-2</v>
          </cell>
          <cell r="H776" t="str">
            <v>Environmental</v>
          </cell>
          <cell r="I776" t="str">
            <v>Wildtype</v>
          </cell>
          <cell r="J776" t="str">
            <v>&gt;16</v>
          </cell>
          <cell r="K776">
            <v>2</v>
          </cell>
        </row>
        <row r="777">
          <cell r="A777" t="str">
            <v>E250</v>
          </cell>
          <cell r="B777">
            <v>52.132632999999998</v>
          </cell>
          <cell r="C777">
            <v>5.2912660000000002</v>
          </cell>
          <cell r="D777">
            <v>2018</v>
          </cell>
          <cell r="E777" t="str">
            <v>Netherlands</v>
          </cell>
          <cell r="F777" t="str">
            <v>TR46/Y121F/T289A</v>
          </cell>
          <cell r="G777" t="str">
            <v>MAT1-2</v>
          </cell>
          <cell r="H777" t="str">
            <v>Environmental</v>
          </cell>
          <cell r="I777" t="str">
            <v>F219Y</v>
          </cell>
          <cell r="K777">
            <v>3</v>
          </cell>
        </row>
        <row r="778">
          <cell r="A778" t="str">
            <v>E251</v>
          </cell>
          <cell r="B778">
            <v>34.047863</v>
          </cell>
          <cell r="C778">
            <v>100.619652</v>
          </cell>
          <cell r="D778">
            <v>2015</v>
          </cell>
          <cell r="E778" t="str">
            <v>Asia</v>
          </cell>
          <cell r="F778" t="str">
            <v>TR46/Y121F/T289A</v>
          </cell>
          <cell r="G778" t="str">
            <v>MAT1-2</v>
          </cell>
          <cell r="H778" t="str">
            <v>Environmental</v>
          </cell>
          <cell r="I778" t="str">
            <v>F219Y</v>
          </cell>
          <cell r="K778">
            <v>4</v>
          </cell>
        </row>
        <row r="779">
          <cell r="A779" t="str">
            <v>E252</v>
          </cell>
          <cell r="B779">
            <v>51.815528999999998</v>
          </cell>
          <cell r="C779">
            <v>-0.36065999999999998</v>
          </cell>
          <cell r="D779">
            <v>2015</v>
          </cell>
          <cell r="E779" t="str">
            <v>UK</v>
          </cell>
          <cell r="F779" t="str">
            <v>TR46/Y121F/T289A</v>
          </cell>
          <cell r="G779" t="str">
            <v>MAT1-2</v>
          </cell>
          <cell r="H779" t="str">
            <v>Environmental</v>
          </cell>
          <cell r="I779" t="str">
            <v>F219Y</v>
          </cell>
          <cell r="K779">
            <v>3</v>
          </cell>
        </row>
        <row r="780">
          <cell r="A780" t="str">
            <v>E253</v>
          </cell>
          <cell r="B780">
            <v>51.815528999999998</v>
          </cell>
          <cell r="C780">
            <v>-0.36065999999999998</v>
          </cell>
          <cell r="D780">
            <v>2015</v>
          </cell>
          <cell r="E780" t="str">
            <v>UK</v>
          </cell>
          <cell r="F780" t="str">
            <v>TR46/Y121F/T289A</v>
          </cell>
          <cell r="G780" t="str">
            <v>MAT1-2</v>
          </cell>
          <cell r="H780" t="str">
            <v>Environmental</v>
          </cell>
          <cell r="I780" t="str">
            <v>F219Y</v>
          </cell>
          <cell r="K780">
            <v>3</v>
          </cell>
        </row>
        <row r="781">
          <cell r="A781" t="str">
            <v>E254</v>
          </cell>
          <cell r="B781">
            <v>52.132632999999998</v>
          </cell>
          <cell r="C781">
            <v>5.2912660000000002</v>
          </cell>
          <cell r="D781">
            <v>2015</v>
          </cell>
          <cell r="E781" t="str">
            <v>Netherlands</v>
          </cell>
          <cell r="F781" t="str">
            <v>TR46/Y121F/T289A</v>
          </cell>
          <cell r="G781" t="str">
            <v>MAT1-2</v>
          </cell>
          <cell r="H781" t="str">
            <v>Environmental</v>
          </cell>
          <cell r="I781" t="str">
            <v>F219Y</v>
          </cell>
          <cell r="K781">
            <v>3</v>
          </cell>
        </row>
        <row r="782">
          <cell r="A782" t="str">
            <v>E255</v>
          </cell>
          <cell r="B782">
            <v>51.815528999999998</v>
          </cell>
          <cell r="C782">
            <v>-0.36065999999999998</v>
          </cell>
          <cell r="D782">
            <v>2015</v>
          </cell>
          <cell r="E782" t="str">
            <v>UK</v>
          </cell>
          <cell r="F782" t="str">
            <v>TR46/Y121F/T289A</v>
          </cell>
          <cell r="G782" t="str">
            <v>MAT1-2</v>
          </cell>
          <cell r="H782" t="str">
            <v>Environmental</v>
          </cell>
          <cell r="I782" t="str">
            <v>F219Y</v>
          </cell>
          <cell r="K782">
            <v>3</v>
          </cell>
        </row>
        <row r="783">
          <cell r="A783" t="str">
            <v>E256</v>
          </cell>
          <cell r="B783">
            <v>52.132632999999998</v>
          </cell>
          <cell r="C783">
            <v>5.2912660000000002</v>
          </cell>
          <cell r="D783">
            <v>2015</v>
          </cell>
          <cell r="E783" t="str">
            <v>Netherlands</v>
          </cell>
          <cell r="F783" t="str">
            <v>TR46/Y121F/T289A</v>
          </cell>
          <cell r="G783" t="str">
            <v>MAT1-2</v>
          </cell>
          <cell r="H783" t="str">
            <v>Environmental</v>
          </cell>
          <cell r="I783" t="str">
            <v>F219Y</v>
          </cell>
          <cell r="K783">
            <v>3</v>
          </cell>
        </row>
        <row r="784">
          <cell r="A784" t="str">
            <v>E257</v>
          </cell>
          <cell r="B784">
            <v>52.132632999999998</v>
          </cell>
          <cell r="C784">
            <v>5.2912660000000002</v>
          </cell>
          <cell r="D784">
            <v>2018</v>
          </cell>
          <cell r="E784" t="str">
            <v>Netherlands</v>
          </cell>
          <cell r="F784" t="str">
            <v>TR46/Y121F/T289A</v>
          </cell>
          <cell r="G784" t="str">
            <v>MAT1-2</v>
          </cell>
          <cell r="H784" t="str">
            <v>Environmental</v>
          </cell>
          <cell r="I784" t="str">
            <v>F219Y</v>
          </cell>
          <cell r="K784">
            <v>3</v>
          </cell>
        </row>
        <row r="785">
          <cell r="A785" t="str">
            <v>E258</v>
          </cell>
          <cell r="B785">
            <v>-8.7831949999999992</v>
          </cell>
          <cell r="C785">
            <v>-55.491478000000001</v>
          </cell>
          <cell r="D785">
            <v>2015</v>
          </cell>
          <cell r="E785" t="str">
            <v>South America</v>
          </cell>
          <cell r="F785" t="str">
            <v>TR46/Y121F/T289A</v>
          </cell>
          <cell r="G785" t="str">
            <v>MAT1-2</v>
          </cell>
          <cell r="H785" t="str">
            <v>Environmental</v>
          </cell>
          <cell r="I785" t="str">
            <v>F219Y</v>
          </cell>
          <cell r="K785">
            <v>3</v>
          </cell>
        </row>
        <row r="786">
          <cell r="A786" t="str">
            <v>E259</v>
          </cell>
          <cell r="B786">
            <v>-8.7831949999999992</v>
          </cell>
          <cell r="C786">
            <v>34.508521999999999</v>
          </cell>
          <cell r="D786">
            <v>2015</v>
          </cell>
          <cell r="E786" t="str">
            <v>Africa</v>
          </cell>
          <cell r="F786" t="str">
            <v>TR46/Y121F/T289A</v>
          </cell>
          <cell r="G786" t="str">
            <v>MAT1-2</v>
          </cell>
          <cell r="H786" t="str">
            <v>Environmental</v>
          </cell>
          <cell r="I786" t="str">
            <v>F219Y</v>
          </cell>
          <cell r="K786">
            <v>3</v>
          </cell>
        </row>
        <row r="787">
          <cell r="A787" t="str">
            <v>E26</v>
          </cell>
          <cell r="B787">
            <v>51.474035000000001</v>
          </cell>
          <cell r="C787">
            <v>-3.4794849999999999</v>
          </cell>
          <cell r="D787">
            <v>2015</v>
          </cell>
          <cell r="E787" t="str">
            <v>UK</v>
          </cell>
          <cell r="F787" t="str">
            <v>TR34/L98H</v>
          </cell>
          <cell r="G787" t="str">
            <v>MAT1-2</v>
          </cell>
          <cell r="H787" t="str">
            <v>Environmental</v>
          </cell>
          <cell r="I787" t="str">
            <v>F219Y</v>
          </cell>
          <cell r="J787" t="str">
            <v>&gt;16</v>
          </cell>
          <cell r="K787">
            <v>3</v>
          </cell>
        </row>
        <row r="788">
          <cell r="A788" t="str">
            <v>E260</v>
          </cell>
          <cell r="B788">
            <v>-8.7831949999999992</v>
          </cell>
          <cell r="C788">
            <v>-55.491478000000001</v>
          </cell>
          <cell r="D788">
            <v>2015</v>
          </cell>
          <cell r="E788" t="str">
            <v>South America</v>
          </cell>
          <cell r="F788" t="str">
            <v>TR46/Y121F/T289A</v>
          </cell>
          <cell r="G788" t="str">
            <v>MAT1-2</v>
          </cell>
          <cell r="H788" t="str">
            <v>Environmental</v>
          </cell>
          <cell r="I788" t="str">
            <v>F219Y</v>
          </cell>
          <cell r="K788">
            <v>3</v>
          </cell>
        </row>
        <row r="789">
          <cell r="A789" t="str">
            <v>E261</v>
          </cell>
          <cell r="B789">
            <v>-8.7831949999999992</v>
          </cell>
          <cell r="C789">
            <v>34.508521999999999</v>
          </cell>
          <cell r="D789">
            <v>2015</v>
          </cell>
          <cell r="E789" t="str">
            <v>Africa</v>
          </cell>
          <cell r="F789" t="str">
            <v>Wildtype</v>
          </cell>
          <cell r="G789" t="str">
            <v>MAT1-2</v>
          </cell>
          <cell r="H789" t="str">
            <v>Environmental</v>
          </cell>
          <cell r="I789" t="str">
            <v>Wildtype</v>
          </cell>
          <cell r="K789">
            <v>4</v>
          </cell>
        </row>
        <row r="790">
          <cell r="A790" t="str">
            <v>E262</v>
          </cell>
          <cell r="B790">
            <v>51.815528999999998</v>
          </cell>
          <cell r="C790">
            <v>-0.36065999999999998</v>
          </cell>
          <cell r="D790">
            <v>2015</v>
          </cell>
          <cell r="E790" t="str">
            <v>UK</v>
          </cell>
          <cell r="F790" t="str">
            <v>Wildtype</v>
          </cell>
          <cell r="G790" t="str">
            <v>MAT1-2</v>
          </cell>
          <cell r="H790" t="str">
            <v>Environmental</v>
          </cell>
          <cell r="I790" t="str">
            <v>Wildtype</v>
          </cell>
          <cell r="K790">
            <v>4</v>
          </cell>
        </row>
        <row r="791">
          <cell r="A791" t="str">
            <v>E263</v>
          </cell>
          <cell r="B791">
            <v>52.132632999999998</v>
          </cell>
          <cell r="C791">
            <v>5.2912660000000002</v>
          </cell>
          <cell r="D791">
            <v>2015</v>
          </cell>
          <cell r="E791" t="str">
            <v>Netherlands</v>
          </cell>
          <cell r="F791" t="str">
            <v>Wildtype</v>
          </cell>
          <cell r="G791" t="str">
            <v>MAT1-2</v>
          </cell>
          <cell r="H791" t="str">
            <v>Environmental</v>
          </cell>
          <cell r="I791" t="str">
            <v>Wildtype</v>
          </cell>
          <cell r="K791">
            <v>3</v>
          </cell>
        </row>
        <row r="792">
          <cell r="A792" t="str">
            <v>E264</v>
          </cell>
          <cell r="B792">
            <v>51.815528999999998</v>
          </cell>
          <cell r="C792">
            <v>-0.36065999999999998</v>
          </cell>
          <cell r="D792">
            <v>2015</v>
          </cell>
          <cell r="E792" t="str">
            <v>UK</v>
          </cell>
          <cell r="F792" t="str">
            <v>Wildtype</v>
          </cell>
          <cell r="G792" t="str">
            <v>MAT1-2</v>
          </cell>
          <cell r="H792" t="str">
            <v>Environmental</v>
          </cell>
          <cell r="I792" t="str">
            <v>Wildtype</v>
          </cell>
          <cell r="K792">
            <v>3</v>
          </cell>
        </row>
        <row r="793">
          <cell r="A793" t="str">
            <v>E265</v>
          </cell>
          <cell r="B793">
            <v>51.815528999999998</v>
          </cell>
          <cell r="C793">
            <v>-0.36065999999999998</v>
          </cell>
          <cell r="D793">
            <v>2015</v>
          </cell>
          <cell r="E793" t="str">
            <v>UK</v>
          </cell>
          <cell r="F793" t="str">
            <v>Wildtype</v>
          </cell>
          <cell r="G793" t="str">
            <v>MAT1-2</v>
          </cell>
          <cell r="H793" t="str">
            <v>Environmental</v>
          </cell>
          <cell r="I793" t="str">
            <v>Wildtype</v>
          </cell>
          <cell r="K793">
            <v>5</v>
          </cell>
        </row>
        <row r="794">
          <cell r="A794" t="str">
            <v>E266</v>
          </cell>
          <cell r="B794">
            <v>54.525962999999997</v>
          </cell>
          <cell r="C794">
            <v>15.255119000000001</v>
          </cell>
          <cell r="D794">
            <v>2015</v>
          </cell>
          <cell r="E794" t="str">
            <v>Europe</v>
          </cell>
          <cell r="F794" t="str">
            <v>Wildtype</v>
          </cell>
          <cell r="G794" t="str">
            <v>MAT1-2</v>
          </cell>
          <cell r="H794" t="str">
            <v>Environmental</v>
          </cell>
          <cell r="I794" t="str">
            <v>Wildtype</v>
          </cell>
          <cell r="K794">
            <v>5</v>
          </cell>
        </row>
        <row r="795">
          <cell r="A795" t="str">
            <v>E267</v>
          </cell>
          <cell r="B795">
            <v>51.815528999999998</v>
          </cell>
          <cell r="C795">
            <v>-0.36065999999999998</v>
          </cell>
          <cell r="D795">
            <v>2015</v>
          </cell>
          <cell r="E795" t="str">
            <v>UK</v>
          </cell>
          <cell r="F795" t="str">
            <v>Wildtype</v>
          </cell>
          <cell r="G795" t="str">
            <v>MAT1-2</v>
          </cell>
          <cell r="H795" t="str">
            <v>Environmental</v>
          </cell>
          <cell r="I795" t="str">
            <v>Wildtype</v>
          </cell>
          <cell r="K795">
            <v>4</v>
          </cell>
        </row>
        <row r="796">
          <cell r="A796" t="str">
            <v>E268</v>
          </cell>
          <cell r="B796">
            <v>51.815528999999998</v>
          </cell>
          <cell r="C796">
            <v>-0.36065999999999998</v>
          </cell>
          <cell r="D796">
            <v>2015</v>
          </cell>
          <cell r="E796" t="str">
            <v>UK</v>
          </cell>
          <cell r="F796" t="str">
            <v>Wildtype</v>
          </cell>
          <cell r="G796" t="str">
            <v>MAT1-2</v>
          </cell>
          <cell r="H796" t="str">
            <v>Environmental</v>
          </cell>
          <cell r="I796" t="str">
            <v>Wildtype</v>
          </cell>
          <cell r="K796">
            <v>5</v>
          </cell>
        </row>
        <row r="797">
          <cell r="A797" t="str">
            <v>E269</v>
          </cell>
          <cell r="B797">
            <v>54.525962999999997</v>
          </cell>
          <cell r="C797">
            <v>15.255119000000001</v>
          </cell>
          <cell r="D797">
            <v>2015</v>
          </cell>
          <cell r="E797" t="str">
            <v>Europe</v>
          </cell>
          <cell r="F797" t="str">
            <v>Wildtype</v>
          </cell>
          <cell r="G797" t="str">
            <v>MAT1-2</v>
          </cell>
          <cell r="H797" t="str">
            <v>Environmental</v>
          </cell>
          <cell r="I797" t="str">
            <v>Wildtype</v>
          </cell>
          <cell r="K797">
            <v>3</v>
          </cell>
        </row>
        <row r="798">
          <cell r="A798" t="str">
            <v>E27</v>
          </cell>
          <cell r="B798">
            <v>51.421120999999999</v>
          </cell>
          <cell r="C798">
            <v>-3.1789529999999999</v>
          </cell>
          <cell r="D798">
            <v>2015</v>
          </cell>
          <cell r="E798" t="str">
            <v>UK</v>
          </cell>
          <cell r="F798" t="str">
            <v>TR34/L98H</v>
          </cell>
          <cell r="G798" t="str">
            <v>MAT1-2</v>
          </cell>
          <cell r="H798" t="str">
            <v>Environmental</v>
          </cell>
          <cell r="I798" t="str">
            <v>Wildtype</v>
          </cell>
          <cell r="J798" t="str">
            <v>&gt;16</v>
          </cell>
          <cell r="K798">
            <v>2</v>
          </cell>
        </row>
        <row r="799">
          <cell r="A799" t="str">
            <v>E270</v>
          </cell>
          <cell r="B799">
            <v>51.815528999999998</v>
          </cell>
          <cell r="C799">
            <v>-0.36065999999999998</v>
          </cell>
          <cell r="D799">
            <v>2015</v>
          </cell>
          <cell r="E799" t="str">
            <v>UK</v>
          </cell>
          <cell r="F799" t="str">
            <v>Wildtype</v>
          </cell>
          <cell r="G799" t="str">
            <v>MAT1-2</v>
          </cell>
          <cell r="H799" t="str">
            <v>Environmental</v>
          </cell>
          <cell r="I799" t="str">
            <v>Wildtype</v>
          </cell>
          <cell r="K799">
            <v>3</v>
          </cell>
        </row>
        <row r="800">
          <cell r="A800" t="str">
            <v>E271</v>
          </cell>
          <cell r="B800">
            <v>51.815528999999998</v>
          </cell>
          <cell r="C800">
            <v>-0.36065999999999998</v>
          </cell>
          <cell r="D800">
            <v>2015</v>
          </cell>
          <cell r="E800" t="str">
            <v>UK</v>
          </cell>
          <cell r="F800" t="str">
            <v>Wildtype</v>
          </cell>
          <cell r="G800" t="str">
            <v>MAT1-2</v>
          </cell>
          <cell r="H800" t="str">
            <v>Environmental</v>
          </cell>
          <cell r="I800" t="str">
            <v>Wildtype</v>
          </cell>
          <cell r="K800">
            <v>3</v>
          </cell>
        </row>
        <row r="801">
          <cell r="A801" t="str">
            <v>E272</v>
          </cell>
          <cell r="B801">
            <v>52.132632999999998</v>
          </cell>
          <cell r="C801">
            <v>5.2912660000000002</v>
          </cell>
          <cell r="D801">
            <v>2015</v>
          </cell>
          <cell r="E801" t="str">
            <v>Netherlands</v>
          </cell>
          <cell r="F801" t="str">
            <v>Wildtype</v>
          </cell>
          <cell r="G801" t="str">
            <v>MAT1-2</v>
          </cell>
          <cell r="H801" t="str">
            <v>Environmental</v>
          </cell>
          <cell r="I801" t="str">
            <v>Wildtype</v>
          </cell>
          <cell r="K801">
            <v>3</v>
          </cell>
        </row>
        <row r="802">
          <cell r="A802" t="str">
            <v>E273</v>
          </cell>
          <cell r="B802">
            <v>46.818187999999999</v>
          </cell>
          <cell r="C802">
            <v>8.2275120000000008</v>
          </cell>
          <cell r="D802">
            <v>2015</v>
          </cell>
          <cell r="E802" t="str">
            <v>Europe</v>
          </cell>
          <cell r="F802" t="str">
            <v>Wildtype</v>
          </cell>
          <cell r="G802" t="e">
            <v>#N/A</v>
          </cell>
          <cell r="H802" t="str">
            <v>Environmental</v>
          </cell>
          <cell r="I802" t="str">
            <v>Wildtype</v>
          </cell>
          <cell r="K802">
            <v>1</v>
          </cell>
        </row>
        <row r="803">
          <cell r="A803" t="str">
            <v>E274</v>
          </cell>
          <cell r="B803">
            <v>54.525962999999997</v>
          </cell>
          <cell r="C803">
            <v>15.255119000000001</v>
          </cell>
          <cell r="D803">
            <v>2015</v>
          </cell>
          <cell r="E803" t="str">
            <v>Europe</v>
          </cell>
          <cell r="F803" t="str">
            <v>Wildtype</v>
          </cell>
          <cell r="G803" t="str">
            <v>MAT1-2</v>
          </cell>
          <cell r="H803" t="str">
            <v>Environmental</v>
          </cell>
          <cell r="I803" t="str">
            <v>Wildtype</v>
          </cell>
          <cell r="K803">
            <v>4</v>
          </cell>
        </row>
        <row r="804">
          <cell r="A804" t="str">
            <v>E275</v>
          </cell>
          <cell r="B804">
            <v>51.815528999999998</v>
          </cell>
          <cell r="C804">
            <v>-0.36065999999999998</v>
          </cell>
          <cell r="D804">
            <v>2015</v>
          </cell>
          <cell r="E804" t="str">
            <v>UK</v>
          </cell>
          <cell r="F804" t="str">
            <v>Wildtype</v>
          </cell>
          <cell r="G804" t="str">
            <v>MAT1-2</v>
          </cell>
          <cell r="H804" t="str">
            <v>Environmental</v>
          </cell>
          <cell r="I804" t="str">
            <v>Wildtype</v>
          </cell>
          <cell r="K804">
            <v>5</v>
          </cell>
        </row>
        <row r="805">
          <cell r="A805" t="str">
            <v>E276</v>
          </cell>
          <cell r="B805">
            <v>51.815528999999998</v>
          </cell>
          <cell r="C805">
            <v>-0.36065999999999998</v>
          </cell>
          <cell r="D805">
            <v>2015</v>
          </cell>
          <cell r="E805" t="str">
            <v>UK</v>
          </cell>
          <cell r="F805" t="str">
            <v>Wildtype</v>
          </cell>
          <cell r="G805" t="str">
            <v>MAT1-2</v>
          </cell>
          <cell r="H805" t="str">
            <v>Environmental</v>
          </cell>
          <cell r="I805" t="str">
            <v>Wildtype</v>
          </cell>
          <cell r="K805">
            <v>3</v>
          </cell>
        </row>
        <row r="806">
          <cell r="A806" t="str">
            <v>E277</v>
          </cell>
          <cell r="B806">
            <v>54.525962999999997</v>
          </cell>
          <cell r="C806">
            <v>15.255119000000001</v>
          </cell>
          <cell r="D806">
            <v>2015</v>
          </cell>
          <cell r="E806" t="str">
            <v>Europe</v>
          </cell>
          <cell r="F806" t="str">
            <v>Wildtype</v>
          </cell>
          <cell r="G806" t="str">
            <v>MAT1-2</v>
          </cell>
          <cell r="H806" t="str">
            <v>Environmental</v>
          </cell>
          <cell r="I806" t="str">
            <v>Wildtype</v>
          </cell>
          <cell r="K806">
            <v>4</v>
          </cell>
        </row>
        <row r="807">
          <cell r="A807" t="str">
            <v>E278</v>
          </cell>
          <cell r="B807">
            <v>54.525962999999997</v>
          </cell>
          <cell r="C807">
            <v>15.255119000000001</v>
          </cell>
          <cell r="D807">
            <v>2015</v>
          </cell>
          <cell r="E807" t="str">
            <v>Europe</v>
          </cell>
          <cell r="F807" t="str">
            <v>Wildtype</v>
          </cell>
          <cell r="G807" t="str">
            <v>MAT1-2</v>
          </cell>
          <cell r="H807" t="str">
            <v>Environmental</v>
          </cell>
          <cell r="I807" t="str">
            <v>Wildtype</v>
          </cell>
          <cell r="K807">
            <v>4</v>
          </cell>
        </row>
        <row r="808">
          <cell r="A808" t="str">
            <v>E279</v>
          </cell>
          <cell r="B808">
            <v>-22.735910000000001</v>
          </cell>
          <cell r="C808">
            <v>140.01876799999999</v>
          </cell>
          <cell r="D808">
            <v>2015</v>
          </cell>
          <cell r="E808" t="str">
            <v>Oceania</v>
          </cell>
          <cell r="F808" t="str">
            <v>Wildtype</v>
          </cell>
          <cell r="G808" t="str">
            <v>MAT1-2</v>
          </cell>
          <cell r="H808" t="str">
            <v>Environmental</v>
          </cell>
          <cell r="I808" t="str">
            <v>Wildtype</v>
          </cell>
          <cell r="K808">
            <v>4</v>
          </cell>
        </row>
        <row r="809">
          <cell r="A809" t="str">
            <v>E28</v>
          </cell>
          <cell r="B809">
            <v>51.815258</v>
          </cell>
          <cell r="C809">
            <v>-5.0801860000000003</v>
          </cell>
          <cell r="D809">
            <v>2015</v>
          </cell>
          <cell r="E809" t="str">
            <v>UK</v>
          </cell>
          <cell r="F809" t="str">
            <v>TR34/L98H</v>
          </cell>
          <cell r="G809" t="str">
            <v>MAT1-2</v>
          </cell>
          <cell r="H809" t="str">
            <v>Environmental</v>
          </cell>
          <cell r="I809" t="str">
            <v>Wildtype</v>
          </cell>
          <cell r="J809" t="str">
            <v>&gt;16</v>
          </cell>
          <cell r="K809">
            <v>2</v>
          </cell>
        </row>
        <row r="810">
          <cell r="A810" t="str">
            <v>E280</v>
          </cell>
          <cell r="B810">
            <v>51.815528999999998</v>
          </cell>
          <cell r="C810">
            <v>-0.36065999999999998</v>
          </cell>
          <cell r="D810">
            <v>2015</v>
          </cell>
          <cell r="E810" t="str">
            <v>UK</v>
          </cell>
          <cell r="F810" t="str">
            <v>Wildtype</v>
          </cell>
          <cell r="G810" t="str">
            <v>MAT1-2</v>
          </cell>
          <cell r="H810" t="str">
            <v>Environmental</v>
          </cell>
          <cell r="I810" t="str">
            <v>Wildtype</v>
          </cell>
          <cell r="K810">
            <v>4</v>
          </cell>
        </row>
        <row r="811">
          <cell r="A811" t="str">
            <v>E281</v>
          </cell>
          <cell r="B811">
            <v>52.132632999999998</v>
          </cell>
          <cell r="C811">
            <v>5.2912660000000002</v>
          </cell>
          <cell r="D811">
            <v>2007</v>
          </cell>
          <cell r="E811" t="str">
            <v>Netherlands</v>
          </cell>
          <cell r="F811" t="str">
            <v>TR34/L98H</v>
          </cell>
          <cell r="G811" t="str">
            <v>MAT1-2</v>
          </cell>
          <cell r="H811" t="str">
            <v>Environmental</v>
          </cell>
          <cell r="I811" t="str">
            <v>Wildtype</v>
          </cell>
          <cell r="J811" t="str">
            <v>&gt;16</v>
          </cell>
          <cell r="K811">
            <v>3</v>
          </cell>
        </row>
        <row r="812">
          <cell r="A812" t="str">
            <v>E282</v>
          </cell>
          <cell r="B812">
            <v>52.132632999999998</v>
          </cell>
          <cell r="C812">
            <v>5.2912660000000002</v>
          </cell>
          <cell r="D812">
            <v>2007</v>
          </cell>
          <cell r="E812" t="str">
            <v>Netherlands</v>
          </cell>
          <cell r="F812" t="str">
            <v>TR34/L98H</v>
          </cell>
          <cell r="G812" t="str">
            <v>MAT1-2</v>
          </cell>
          <cell r="H812" t="str">
            <v>Environmental</v>
          </cell>
          <cell r="I812" t="str">
            <v>Wildtype</v>
          </cell>
          <cell r="J812" t="str">
            <v>&gt;16</v>
          </cell>
          <cell r="K812">
            <v>3</v>
          </cell>
        </row>
        <row r="813">
          <cell r="A813" t="str">
            <v>E283</v>
          </cell>
          <cell r="B813">
            <v>37.957538999999997</v>
          </cell>
          <cell r="C813">
            <v>-121.29245</v>
          </cell>
          <cell r="D813">
            <v>2016</v>
          </cell>
          <cell r="E813" t="str">
            <v>USA</v>
          </cell>
          <cell r="F813" t="str">
            <v>Wildtype</v>
          </cell>
          <cell r="G813" t="str">
            <v>MAT1-2</v>
          </cell>
          <cell r="H813" t="str">
            <v>Environmental</v>
          </cell>
          <cell r="I813" t="str">
            <v>Wildtype</v>
          </cell>
          <cell r="K813">
            <v>1</v>
          </cell>
        </row>
        <row r="814">
          <cell r="A814" t="str">
            <v>E284</v>
          </cell>
          <cell r="B814">
            <v>37.090240000000001</v>
          </cell>
          <cell r="C814">
            <v>-95.712890999999999</v>
          </cell>
          <cell r="E814" t="str">
            <v>USA</v>
          </cell>
          <cell r="F814" t="str">
            <v>Wildtype</v>
          </cell>
          <cell r="G814" t="e">
            <v>#N/A</v>
          </cell>
          <cell r="H814" t="str">
            <v>Environmental</v>
          </cell>
          <cell r="I814" t="str">
            <v>Wildtype</v>
          </cell>
          <cell r="K814">
            <v>1</v>
          </cell>
        </row>
        <row r="815">
          <cell r="A815" t="str">
            <v>E285</v>
          </cell>
          <cell r="B815">
            <v>40.511749999999999</v>
          </cell>
          <cell r="C815">
            <v>-106.01011</v>
          </cell>
          <cell r="D815">
            <v>2015</v>
          </cell>
          <cell r="E815" t="str">
            <v>USA</v>
          </cell>
          <cell r="F815" t="str">
            <v>Wildtype</v>
          </cell>
          <cell r="G815" t="str">
            <v>MAT1-2</v>
          </cell>
          <cell r="H815" t="str">
            <v>Environmental</v>
          </cell>
          <cell r="I815" t="str">
            <v>Wildtype</v>
          </cell>
          <cell r="K815">
            <v>4</v>
          </cell>
        </row>
        <row r="816">
          <cell r="A816" t="str">
            <v>E286</v>
          </cell>
          <cell r="B816">
            <v>26.247150000000001</v>
          </cell>
          <cell r="C816">
            <v>-98.479622000000006</v>
          </cell>
          <cell r="D816">
            <v>2015</v>
          </cell>
          <cell r="E816" t="str">
            <v>USA</v>
          </cell>
          <cell r="F816" t="str">
            <v>Wildtype</v>
          </cell>
          <cell r="G816" t="str">
            <v>MAT1-2</v>
          </cell>
          <cell r="H816" t="str">
            <v>Environmental</v>
          </cell>
          <cell r="I816" t="str">
            <v>Wildtype</v>
          </cell>
          <cell r="K816">
            <v>5</v>
          </cell>
        </row>
        <row r="817">
          <cell r="A817" t="str">
            <v>E287</v>
          </cell>
          <cell r="B817">
            <v>51.617607999999997</v>
          </cell>
          <cell r="C817">
            <v>-1.068057</v>
          </cell>
          <cell r="D817">
            <v>2018</v>
          </cell>
          <cell r="E817" t="str">
            <v>UK</v>
          </cell>
          <cell r="F817" t="str">
            <v>Wildtype</v>
          </cell>
          <cell r="G817">
            <v>0</v>
          </cell>
          <cell r="H817" t="str">
            <v>Environmental</v>
          </cell>
          <cell r="I817" t="str">
            <v>Wildtype</v>
          </cell>
          <cell r="J817">
            <v>0.06</v>
          </cell>
          <cell r="K817">
            <v>3</v>
          </cell>
        </row>
        <row r="818">
          <cell r="A818" t="str">
            <v>E288</v>
          </cell>
          <cell r="B818">
            <v>51.617607999999997</v>
          </cell>
          <cell r="C818">
            <v>-1.068057</v>
          </cell>
          <cell r="D818">
            <v>2018</v>
          </cell>
          <cell r="E818" t="str">
            <v>UK</v>
          </cell>
          <cell r="F818" t="str">
            <v>TR46/Y121F/T289A</v>
          </cell>
          <cell r="G818">
            <v>0</v>
          </cell>
          <cell r="H818" t="str">
            <v>Environmental</v>
          </cell>
          <cell r="I818" t="str">
            <v>F219Y</v>
          </cell>
          <cell r="J818">
            <v>16</v>
          </cell>
          <cell r="K818">
            <v>3</v>
          </cell>
        </row>
        <row r="819">
          <cell r="A819" t="str">
            <v>E289</v>
          </cell>
          <cell r="B819">
            <v>51.617607999999997</v>
          </cell>
          <cell r="C819">
            <v>-1.068057</v>
          </cell>
          <cell r="D819">
            <v>2018</v>
          </cell>
          <cell r="E819" t="str">
            <v>UK</v>
          </cell>
          <cell r="F819" t="str">
            <v>Wildtype</v>
          </cell>
          <cell r="G819">
            <v>0</v>
          </cell>
          <cell r="H819" t="str">
            <v>Environmental</v>
          </cell>
          <cell r="I819" t="str">
            <v>Wildtype</v>
          </cell>
          <cell r="K819">
            <v>5</v>
          </cell>
        </row>
        <row r="820">
          <cell r="A820" t="str">
            <v>E29</v>
          </cell>
          <cell r="B820">
            <v>51.578603000000001</v>
          </cell>
          <cell r="C820">
            <v>-3.0029940000000002</v>
          </cell>
          <cell r="D820">
            <v>2015</v>
          </cell>
          <cell r="E820" t="str">
            <v>UK</v>
          </cell>
          <cell r="F820" t="str">
            <v>TR34/L98H</v>
          </cell>
          <cell r="G820" t="str">
            <v>MAT1-2</v>
          </cell>
          <cell r="H820" t="str">
            <v>Environmental</v>
          </cell>
          <cell r="I820" t="str">
            <v>Wildtype</v>
          </cell>
          <cell r="J820" t="str">
            <v>&gt;16</v>
          </cell>
          <cell r="K820">
            <v>2</v>
          </cell>
        </row>
        <row r="821">
          <cell r="A821" t="str">
            <v>E290</v>
          </cell>
          <cell r="B821">
            <v>53.779541999999999</v>
          </cell>
          <cell r="C821">
            <v>-1.508761</v>
          </cell>
          <cell r="D821">
            <v>2018</v>
          </cell>
          <cell r="E821" t="str">
            <v>UK</v>
          </cell>
          <cell r="F821" t="str">
            <v>TR34/L98H</v>
          </cell>
          <cell r="G821">
            <v>0</v>
          </cell>
          <cell r="H821" t="str">
            <v>Environmental</v>
          </cell>
          <cell r="I821" t="str">
            <v>Wildtype</v>
          </cell>
          <cell r="K821">
            <v>2</v>
          </cell>
        </row>
        <row r="822">
          <cell r="A822" t="str">
            <v>E291</v>
          </cell>
          <cell r="B822">
            <v>53.779541999999999</v>
          </cell>
          <cell r="C822">
            <v>-1.508761</v>
          </cell>
          <cell r="D822">
            <v>2018</v>
          </cell>
          <cell r="E822" t="str">
            <v>UK</v>
          </cell>
          <cell r="F822" t="str">
            <v>Wildtype</v>
          </cell>
          <cell r="G822">
            <v>0</v>
          </cell>
          <cell r="H822" t="str">
            <v>Environmental</v>
          </cell>
          <cell r="I822" t="str">
            <v>Wildtype</v>
          </cell>
          <cell r="J822">
            <v>16</v>
          </cell>
          <cell r="K822">
            <v>4</v>
          </cell>
        </row>
        <row r="823">
          <cell r="A823" t="str">
            <v>E292</v>
          </cell>
          <cell r="B823">
            <v>51.603661000000002</v>
          </cell>
          <cell r="C823">
            <v>-1.1324529999999999</v>
          </cell>
          <cell r="D823">
            <v>2018</v>
          </cell>
          <cell r="E823" t="str">
            <v>UK</v>
          </cell>
          <cell r="F823" t="str">
            <v>Wildtype</v>
          </cell>
          <cell r="G823">
            <v>0</v>
          </cell>
          <cell r="H823" t="str">
            <v>Environmental</v>
          </cell>
          <cell r="I823" t="str">
            <v>Wildtype</v>
          </cell>
          <cell r="K823">
            <v>3</v>
          </cell>
        </row>
        <row r="824">
          <cell r="A824" t="str">
            <v>E293</v>
          </cell>
          <cell r="B824">
            <v>51.603661000000002</v>
          </cell>
          <cell r="C824">
            <v>-1.1324529999999999</v>
          </cell>
          <cell r="D824">
            <v>2018</v>
          </cell>
          <cell r="E824" t="str">
            <v>UK</v>
          </cell>
          <cell r="F824" t="str">
            <v>TR34/L98H</v>
          </cell>
          <cell r="G824">
            <v>0</v>
          </cell>
          <cell r="H824" t="str">
            <v>Environmental</v>
          </cell>
          <cell r="I824" t="str">
            <v>Wildtype</v>
          </cell>
          <cell r="J824">
            <v>16</v>
          </cell>
          <cell r="K824">
            <v>3</v>
          </cell>
        </row>
        <row r="825">
          <cell r="A825" t="str">
            <v>E294</v>
          </cell>
          <cell r="B825">
            <v>51.597186999999998</v>
          </cell>
          <cell r="C825">
            <v>-1.131219</v>
          </cell>
          <cell r="D825">
            <v>2018</v>
          </cell>
          <cell r="E825" t="str">
            <v>UK</v>
          </cell>
          <cell r="F825" t="str">
            <v>Wildtype</v>
          </cell>
          <cell r="G825">
            <v>0</v>
          </cell>
          <cell r="H825" t="str">
            <v>Environmental</v>
          </cell>
          <cell r="I825" t="str">
            <v>Wildtype</v>
          </cell>
          <cell r="K825">
            <v>1</v>
          </cell>
        </row>
        <row r="826">
          <cell r="A826" t="str">
            <v>E295</v>
          </cell>
          <cell r="B826">
            <v>51.597186999999998</v>
          </cell>
          <cell r="C826">
            <v>-1.131219</v>
          </cell>
          <cell r="D826">
            <v>2018</v>
          </cell>
          <cell r="E826" t="str">
            <v>UK</v>
          </cell>
          <cell r="F826" t="str">
            <v>Wildtype</v>
          </cell>
          <cell r="G826">
            <v>0</v>
          </cell>
          <cell r="H826" t="str">
            <v>Environmental</v>
          </cell>
          <cell r="I826" t="str">
            <v>Wildtype</v>
          </cell>
          <cell r="J826">
            <v>0.125</v>
          </cell>
          <cell r="K826">
            <v>3</v>
          </cell>
        </row>
        <row r="827">
          <cell r="A827" t="str">
            <v>E296</v>
          </cell>
          <cell r="B827">
            <v>51.597186999999998</v>
          </cell>
          <cell r="C827">
            <v>-1.131219</v>
          </cell>
          <cell r="D827">
            <v>2018</v>
          </cell>
          <cell r="E827" t="str">
            <v>UK</v>
          </cell>
          <cell r="F827" t="str">
            <v>TR34/L98H</v>
          </cell>
          <cell r="G827">
            <v>0</v>
          </cell>
          <cell r="H827" t="str">
            <v>Environmental</v>
          </cell>
          <cell r="I827" t="str">
            <v>F219Y</v>
          </cell>
          <cell r="J827">
            <v>16</v>
          </cell>
          <cell r="K827">
            <v>3</v>
          </cell>
        </row>
        <row r="828">
          <cell r="A828" t="str">
            <v>E297</v>
          </cell>
          <cell r="B828">
            <v>51.618532999999999</v>
          </cell>
          <cell r="C828">
            <v>-0.77601900000000001</v>
          </cell>
          <cell r="D828">
            <v>2018</v>
          </cell>
          <cell r="E828" t="str">
            <v>UK</v>
          </cell>
          <cell r="F828" t="str">
            <v>Wildtype</v>
          </cell>
          <cell r="G828">
            <v>0</v>
          </cell>
          <cell r="H828" t="str">
            <v>Environmental</v>
          </cell>
          <cell r="I828" t="str">
            <v>Wildtype</v>
          </cell>
          <cell r="J828">
            <v>0.12</v>
          </cell>
          <cell r="K828">
            <v>5</v>
          </cell>
        </row>
        <row r="829">
          <cell r="A829" t="str">
            <v>E298</v>
          </cell>
          <cell r="B829">
            <v>51.618532999999999</v>
          </cell>
          <cell r="C829">
            <v>-0.77601900000000001</v>
          </cell>
          <cell r="D829">
            <v>2018</v>
          </cell>
          <cell r="E829" t="str">
            <v>UK</v>
          </cell>
          <cell r="F829" t="str">
            <v>TR34/L98H</v>
          </cell>
          <cell r="G829">
            <v>0</v>
          </cell>
          <cell r="H829" t="str">
            <v>Environmental</v>
          </cell>
          <cell r="I829" t="str">
            <v>Wildtype</v>
          </cell>
          <cell r="J829">
            <v>16</v>
          </cell>
          <cell r="K829">
            <v>3</v>
          </cell>
        </row>
        <row r="830">
          <cell r="A830" t="str">
            <v>E299</v>
          </cell>
          <cell r="B830">
            <v>51.618532999999999</v>
          </cell>
          <cell r="C830">
            <v>-0.77601900000000001</v>
          </cell>
          <cell r="D830">
            <v>2018</v>
          </cell>
          <cell r="E830" t="str">
            <v>UK</v>
          </cell>
          <cell r="F830" t="str">
            <v>Wildtype</v>
          </cell>
          <cell r="G830">
            <v>0</v>
          </cell>
          <cell r="H830" t="str">
            <v>Environmental</v>
          </cell>
          <cell r="I830" t="str">
            <v>Wildtype</v>
          </cell>
          <cell r="K830">
            <v>3</v>
          </cell>
        </row>
        <row r="831">
          <cell r="A831" t="str">
            <v>E3</v>
          </cell>
          <cell r="B831">
            <v>52.132632999999998</v>
          </cell>
          <cell r="C831">
            <v>5.2912660000000002</v>
          </cell>
          <cell r="D831">
            <v>2008</v>
          </cell>
          <cell r="E831" t="str">
            <v>Netherlands</v>
          </cell>
          <cell r="F831" t="str">
            <v>TR34/L98H</v>
          </cell>
          <cell r="G831" t="str">
            <v>MAT1-1</v>
          </cell>
          <cell r="H831" t="str">
            <v>Environmental</v>
          </cell>
          <cell r="I831" t="str">
            <v>Wildtype</v>
          </cell>
          <cell r="J831" t="str">
            <v>&gt;16</v>
          </cell>
          <cell r="K831">
            <v>3</v>
          </cell>
        </row>
        <row r="832">
          <cell r="A832" t="str">
            <v>E30</v>
          </cell>
          <cell r="B832">
            <v>51.578603000000001</v>
          </cell>
          <cell r="C832">
            <v>-3.0029940000000002</v>
          </cell>
          <cell r="D832">
            <v>2015</v>
          </cell>
          <cell r="E832" t="str">
            <v>UK</v>
          </cell>
          <cell r="F832" t="str">
            <v>TR34/L98H</v>
          </cell>
          <cell r="G832" t="str">
            <v>MAT1-2</v>
          </cell>
          <cell r="H832" t="str">
            <v>Environmental</v>
          </cell>
          <cell r="I832" t="str">
            <v>Wildtype</v>
          </cell>
          <cell r="K832">
            <v>2</v>
          </cell>
        </row>
        <row r="833">
          <cell r="A833" t="str">
            <v>E300</v>
          </cell>
          <cell r="B833">
            <v>51.618532999999999</v>
          </cell>
          <cell r="C833">
            <v>-0.77601900000000001</v>
          </cell>
          <cell r="D833">
            <v>2018</v>
          </cell>
          <cell r="E833" t="str">
            <v>UK</v>
          </cell>
          <cell r="F833" t="str">
            <v>Wildtype</v>
          </cell>
          <cell r="G833">
            <v>0</v>
          </cell>
          <cell r="H833" t="str">
            <v>Environmental</v>
          </cell>
          <cell r="I833" t="str">
            <v>Wildtype</v>
          </cell>
          <cell r="K833">
            <v>5</v>
          </cell>
        </row>
        <row r="834">
          <cell r="A834" t="str">
            <v>E301</v>
          </cell>
          <cell r="B834">
            <v>51.618532999999999</v>
          </cell>
          <cell r="C834">
            <v>-0.77601900000000001</v>
          </cell>
          <cell r="D834">
            <v>2018</v>
          </cell>
          <cell r="E834" t="str">
            <v>UK</v>
          </cell>
          <cell r="F834" t="str">
            <v>Wildtype</v>
          </cell>
          <cell r="G834">
            <v>0</v>
          </cell>
          <cell r="H834" t="str">
            <v>Environmental</v>
          </cell>
          <cell r="I834" t="str">
            <v>Wildtype</v>
          </cell>
          <cell r="J834">
            <v>0.12</v>
          </cell>
          <cell r="K834">
            <v>5</v>
          </cell>
        </row>
        <row r="835">
          <cell r="A835" t="str">
            <v>E302</v>
          </cell>
          <cell r="B835">
            <v>51.618532999999999</v>
          </cell>
          <cell r="C835">
            <v>-0.77601900000000001</v>
          </cell>
          <cell r="D835">
            <v>2018</v>
          </cell>
          <cell r="E835" t="str">
            <v>UK</v>
          </cell>
          <cell r="F835" t="str">
            <v>TR34/L98H</v>
          </cell>
          <cell r="G835">
            <v>0</v>
          </cell>
          <cell r="H835" t="str">
            <v>Environmental</v>
          </cell>
          <cell r="I835" t="str">
            <v>Wildtype</v>
          </cell>
          <cell r="J835">
            <v>16</v>
          </cell>
          <cell r="K835">
            <v>3</v>
          </cell>
        </row>
        <row r="836">
          <cell r="A836" t="str">
            <v>E303</v>
          </cell>
          <cell r="B836">
            <v>51.618532999999999</v>
          </cell>
          <cell r="C836">
            <v>-0.77601900000000001</v>
          </cell>
          <cell r="D836">
            <v>2018</v>
          </cell>
          <cell r="E836" t="str">
            <v>UK</v>
          </cell>
          <cell r="F836" t="str">
            <v>Wildtype</v>
          </cell>
          <cell r="G836">
            <v>0</v>
          </cell>
          <cell r="H836" t="str">
            <v>Environmental</v>
          </cell>
          <cell r="I836" t="str">
            <v>Wildtype</v>
          </cell>
          <cell r="J836">
            <v>0.12</v>
          </cell>
          <cell r="K836">
            <v>5</v>
          </cell>
        </row>
        <row r="837">
          <cell r="A837" t="str">
            <v>E304</v>
          </cell>
          <cell r="B837">
            <v>51.618532999999999</v>
          </cell>
          <cell r="C837">
            <v>-0.77601900000000001</v>
          </cell>
          <cell r="D837">
            <v>2018</v>
          </cell>
          <cell r="E837" t="str">
            <v>UK</v>
          </cell>
          <cell r="F837" t="str">
            <v>TR34/L98H</v>
          </cell>
          <cell r="G837">
            <v>0</v>
          </cell>
          <cell r="H837" t="str">
            <v>Environmental</v>
          </cell>
          <cell r="I837" t="str">
            <v>Wildtype</v>
          </cell>
          <cell r="J837">
            <v>16</v>
          </cell>
          <cell r="K837">
            <v>3</v>
          </cell>
        </row>
        <row r="838">
          <cell r="A838" t="str">
            <v>E305</v>
          </cell>
          <cell r="B838">
            <v>51.618532999999999</v>
          </cell>
          <cell r="C838">
            <v>-0.77601900000000001</v>
          </cell>
          <cell r="D838">
            <v>2018</v>
          </cell>
          <cell r="E838" t="str">
            <v>UK</v>
          </cell>
          <cell r="F838" t="str">
            <v>Wildtype</v>
          </cell>
          <cell r="G838">
            <v>0</v>
          </cell>
          <cell r="H838" t="str">
            <v>Environmental</v>
          </cell>
          <cell r="I838" t="str">
            <v>Wildtype</v>
          </cell>
          <cell r="J838">
            <v>16</v>
          </cell>
          <cell r="K838">
            <v>1</v>
          </cell>
        </row>
        <row r="839">
          <cell r="A839" t="str">
            <v>E306</v>
          </cell>
          <cell r="B839">
            <v>53.808999999999997</v>
          </cell>
          <cell r="C839">
            <v>-3.0155259999999999</v>
          </cell>
          <cell r="D839">
            <v>2018</v>
          </cell>
          <cell r="E839" t="str">
            <v>UK</v>
          </cell>
          <cell r="F839" t="str">
            <v>TR34/L98H</v>
          </cell>
          <cell r="G839">
            <v>0</v>
          </cell>
          <cell r="H839" t="str">
            <v>Environmental</v>
          </cell>
          <cell r="I839" t="str">
            <v>Wildtype</v>
          </cell>
          <cell r="K839">
            <v>3</v>
          </cell>
        </row>
        <row r="840">
          <cell r="A840" t="str">
            <v>E307</v>
          </cell>
          <cell r="B840">
            <v>53.808999999999997</v>
          </cell>
          <cell r="C840">
            <v>-3.0155259999999999</v>
          </cell>
          <cell r="D840">
            <v>2018</v>
          </cell>
          <cell r="E840" t="str">
            <v>UK</v>
          </cell>
          <cell r="F840" t="str">
            <v>TR34/L98H</v>
          </cell>
          <cell r="G840">
            <v>0</v>
          </cell>
          <cell r="H840" t="str">
            <v>Environmental</v>
          </cell>
          <cell r="I840" t="str">
            <v>Wildtype</v>
          </cell>
          <cell r="J840">
            <v>16</v>
          </cell>
          <cell r="K840">
            <v>3</v>
          </cell>
        </row>
        <row r="841">
          <cell r="A841" t="str">
            <v>E308</v>
          </cell>
          <cell r="B841">
            <v>53.808999999999997</v>
          </cell>
          <cell r="C841">
            <v>-3.0155259999999999</v>
          </cell>
          <cell r="D841">
            <v>2018</v>
          </cell>
          <cell r="E841" t="str">
            <v>UK</v>
          </cell>
          <cell r="F841" t="str">
            <v>Wildtype</v>
          </cell>
          <cell r="G841">
            <v>0</v>
          </cell>
          <cell r="H841" t="str">
            <v>Environmental</v>
          </cell>
          <cell r="I841" t="str">
            <v>Wildtype</v>
          </cell>
          <cell r="J841">
            <v>0.12</v>
          </cell>
          <cell r="K841">
            <v>5</v>
          </cell>
        </row>
        <row r="842">
          <cell r="A842" t="str">
            <v>E309</v>
          </cell>
          <cell r="B842">
            <v>53.808999999999997</v>
          </cell>
          <cell r="C842">
            <v>-3.0155259999999999</v>
          </cell>
          <cell r="D842">
            <v>2018</v>
          </cell>
          <cell r="E842" t="str">
            <v>UK</v>
          </cell>
          <cell r="F842" t="str">
            <v>TR34/L98H</v>
          </cell>
          <cell r="G842">
            <v>0</v>
          </cell>
          <cell r="H842" t="str">
            <v>Environmental</v>
          </cell>
          <cell r="I842" t="str">
            <v>Wildtype</v>
          </cell>
          <cell r="J842">
            <v>16</v>
          </cell>
          <cell r="K842">
            <v>1</v>
          </cell>
        </row>
        <row r="843">
          <cell r="A843" t="str">
            <v>E31</v>
          </cell>
          <cell r="B843">
            <v>51.578603000000001</v>
          </cell>
          <cell r="C843">
            <v>-3.0029940000000002</v>
          </cell>
          <cell r="D843">
            <v>2015</v>
          </cell>
          <cell r="E843" t="str">
            <v>UK</v>
          </cell>
          <cell r="F843" t="str">
            <v>TR34/L98H</v>
          </cell>
          <cell r="G843" t="str">
            <v>MAT1-2</v>
          </cell>
          <cell r="H843" t="str">
            <v>Environmental</v>
          </cell>
          <cell r="I843" t="str">
            <v>Wildtype</v>
          </cell>
          <cell r="K843">
            <v>2</v>
          </cell>
        </row>
        <row r="844">
          <cell r="A844" t="str">
            <v>E311</v>
          </cell>
          <cell r="B844">
            <v>53.25271</v>
          </cell>
          <cell r="C844">
            <v>-2.5164049999999998</v>
          </cell>
          <cell r="D844">
            <v>2018</v>
          </cell>
          <cell r="E844" t="str">
            <v>UK</v>
          </cell>
          <cell r="F844" t="str">
            <v>Wildtype</v>
          </cell>
          <cell r="G844">
            <v>0</v>
          </cell>
          <cell r="H844" t="str">
            <v>Environmental</v>
          </cell>
          <cell r="I844" t="str">
            <v>Wildtype</v>
          </cell>
          <cell r="K844">
            <v>5</v>
          </cell>
        </row>
        <row r="845">
          <cell r="A845" t="str">
            <v>E312</v>
          </cell>
          <cell r="B845">
            <v>53.25271</v>
          </cell>
          <cell r="C845">
            <v>-2.5164049999999998</v>
          </cell>
          <cell r="D845">
            <v>2018</v>
          </cell>
          <cell r="E845" t="str">
            <v>UK</v>
          </cell>
          <cell r="F845" t="str">
            <v>TR34/L98H</v>
          </cell>
          <cell r="G845">
            <v>0</v>
          </cell>
          <cell r="H845" t="str">
            <v>Environmental</v>
          </cell>
          <cell r="I845" t="str">
            <v>Wildtype</v>
          </cell>
          <cell r="J845">
            <v>16</v>
          </cell>
          <cell r="K845">
            <v>4</v>
          </cell>
        </row>
        <row r="846">
          <cell r="A846" t="str">
            <v>E313</v>
          </cell>
          <cell r="B846">
            <v>51.649206</v>
          </cell>
          <cell r="C846">
            <v>-0.43337599999999998</v>
          </cell>
          <cell r="D846">
            <v>2018</v>
          </cell>
          <cell r="E846" t="str">
            <v>UK</v>
          </cell>
          <cell r="F846" t="str">
            <v>Wildtype</v>
          </cell>
          <cell r="G846">
            <v>0</v>
          </cell>
          <cell r="H846" t="str">
            <v>Environmental</v>
          </cell>
          <cell r="I846" t="str">
            <v>Wildtype</v>
          </cell>
          <cell r="K846">
            <v>3</v>
          </cell>
        </row>
        <row r="847">
          <cell r="A847" t="str">
            <v>E315</v>
          </cell>
          <cell r="B847">
            <v>51.649206</v>
          </cell>
          <cell r="C847">
            <v>-0.43337599999999998</v>
          </cell>
          <cell r="D847">
            <v>2018</v>
          </cell>
          <cell r="E847" t="str">
            <v>UK</v>
          </cell>
          <cell r="F847" t="str">
            <v>TR34/L98H</v>
          </cell>
          <cell r="G847">
            <v>0</v>
          </cell>
          <cell r="H847" t="str">
            <v>Environmental</v>
          </cell>
          <cell r="I847" t="str">
            <v>Wildtype</v>
          </cell>
          <cell r="J847">
            <v>16</v>
          </cell>
          <cell r="K847">
            <v>3</v>
          </cell>
        </row>
        <row r="848">
          <cell r="A848" t="str">
            <v>E316</v>
          </cell>
          <cell r="B848">
            <v>51.649206</v>
          </cell>
          <cell r="C848">
            <v>-0.43337599999999998</v>
          </cell>
          <cell r="D848">
            <v>2018</v>
          </cell>
          <cell r="E848" t="str">
            <v>UK</v>
          </cell>
          <cell r="F848" t="str">
            <v>TR34/L98H</v>
          </cell>
          <cell r="G848">
            <v>0</v>
          </cell>
          <cell r="H848" t="str">
            <v>Environmental</v>
          </cell>
          <cell r="I848" t="str">
            <v>Wildtype</v>
          </cell>
          <cell r="J848">
            <v>16</v>
          </cell>
          <cell r="K848">
            <v>3</v>
          </cell>
        </row>
        <row r="849">
          <cell r="A849" t="str">
            <v>E317</v>
          </cell>
          <cell r="B849">
            <v>51.649206</v>
          </cell>
          <cell r="C849">
            <v>-0.43337599999999998</v>
          </cell>
          <cell r="D849">
            <v>2018</v>
          </cell>
          <cell r="E849" t="str">
            <v>UK</v>
          </cell>
          <cell r="F849" t="str">
            <v>Wildtype</v>
          </cell>
          <cell r="G849">
            <v>0</v>
          </cell>
          <cell r="H849" t="str">
            <v>Environmental</v>
          </cell>
          <cell r="I849" t="str">
            <v>Wildtype</v>
          </cell>
          <cell r="J849">
            <v>0.06</v>
          </cell>
          <cell r="K849">
            <v>5</v>
          </cell>
        </row>
        <row r="850">
          <cell r="A850" t="str">
            <v>E318</v>
          </cell>
          <cell r="B850">
            <v>51.649206</v>
          </cell>
          <cell r="C850">
            <v>-0.43337599999999998</v>
          </cell>
          <cell r="D850">
            <v>2018</v>
          </cell>
          <cell r="E850" t="str">
            <v>UK</v>
          </cell>
          <cell r="F850" t="str">
            <v>TR34/L98H</v>
          </cell>
          <cell r="G850">
            <v>0</v>
          </cell>
          <cell r="H850" t="str">
            <v>Environmental</v>
          </cell>
          <cell r="I850" t="str">
            <v>Wildtype</v>
          </cell>
          <cell r="J850">
            <v>16</v>
          </cell>
          <cell r="K850">
            <v>3</v>
          </cell>
        </row>
        <row r="851">
          <cell r="A851" t="str">
            <v>E32</v>
          </cell>
          <cell r="B851">
            <v>51.513482000000003</v>
          </cell>
          <cell r="C851">
            <v>-3.1849560000000001</v>
          </cell>
          <cell r="D851">
            <v>2015</v>
          </cell>
          <cell r="E851" t="str">
            <v>UK</v>
          </cell>
          <cell r="F851" t="str">
            <v>TR34/L98H</v>
          </cell>
          <cell r="G851" t="str">
            <v>MAT1-2</v>
          </cell>
          <cell r="H851" t="str">
            <v>Environmental</v>
          </cell>
          <cell r="I851" t="str">
            <v>Wildtype</v>
          </cell>
          <cell r="J851" t="str">
            <v>&gt;16</v>
          </cell>
          <cell r="K851">
            <v>3</v>
          </cell>
        </row>
        <row r="852">
          <cell r="A852" t="str">
            <v>E321</v>
          </cell>
          <cell r="B852">
            <v>51.649206</v>
          </cell>
          <cell r="C852">
            <v>-0.43337599999999998</v>
          </cell>
          <cell r="D852">
            <v>2018</v>
          </cell>
          <cell r="E852" t="str">
            <v>UK</v>
          </cell>
          <cell r="F852" t="str">
            <v>Wildtype</v>
          </cell>
          <cell r="G852">
            <v>0</v>
          </cell>
          <cell r="H852" t="str">
            <v>Environmental</v>
          </cell>
          <cell r="I852" t="str">
            <v>Wildtype</v>
          </cell>
          <cell r="J852">
            <v>0.12</v>
          </cell>
          <cell r="K852">
            <v>5</v>
          </cell>
        </row>
        <row r="853">
          <cell r="A853" t="str">
            <v>E322</v>
          </cell>
          <cell r="B853">
            <v>51.649206</v>
          </cell>
          <cell r="C853">
            <v>-0.43337599999999998</v>
          </cell>
          <cell r="D853">
            <v>2018</v>
          </cell>
          <cell r="E853" t="str">
            <v>UK</v>
          </cell>
          <cell r="F853" t="str">
            <v>TR34/L98H</v>
          </cell>
          <cell r="G853">
            <v>0</v>
          </cell>
          <cell r="H853" t="str">
            <v>Environmental</v>
          </cell>
          <cell r="I853" t="str">
            <v>Wildtype</v>
          </cell>
          <cell r="J853">
            <v>16</v>
          </cell>
          <cell r="K853">
            <v>3</v>
          </cell>
        </row>
        <row r="854">
          <cell r="A854" t="str">
            <v>E323</v>
          </cell>
          <cell r="B854">
            <v>55.923617999999998</v>
          </cell>
          <cell r="C854">
            <v>-3.1762250000000001</v>
          </cell>
          <cell r="D854">
            <v>2018</v>
          </cell>
          <cell r="E854" t="str">
            <v>UK</v>
          </cell>
          <cell r="F854" t="str">
            <v>TR34/L98H</v>
          </cell>
          <cell r="G854">
            <v>0</v>
          </cell>
          <cell r="H854" t="str">
            <v>Environmental</v>
          </cell>
          <cell r="I854" t="str">
            <v>Wildtype</v>
          </cell>
          <cell r="K854">
            <v>3</v>
          </cell>
        </row>
        <row r="855">
          <cell r="A855" t="str">
            <v>E324</v>
          </cell>
          <cell r="B855">
            <v>55.923617999999998</v>
          </cell>
          <cell r="C855">
            <v>-3.1762250000000001</v>
          </cell>
          <cell r="D855">
            <v>2018</v>
          </cell>
          <cell r="E855" t="str">
            <v>UK</v>
          </cell>
          <cell r="F855" t="str">
            <v>TR34/L98H</v>
          </cell>
          <cell r="G855">
            <v>0</v>
          </cell>
          <cell r="H855" t="str">
            <v>Environmental</v>
          </cell>
          <cell r="I855" t="str">
            <v>Wildtype</v>
          </cell>
          <cell r="J855">
            <v>16</v>
          </cell>
          <cell r="K855">
            <v>2</v>
          </cell>
        </row>
        <row r="856">
          <cell r="A856" t="str">
            <v>E325</v>
          </cell>
          <cell r="B856">
            <v>55.923617999999998</v>
          </cell>
          <cell r="C856">
            <v>-3.1762250000000001</v>
          </cell>
          <cell r="D856">
            <v>2018</v>
          </cell>
          <cell r="E856" t="str">
            <v>UK</v>
          </cell>
          <cell r="F856" t="str">
            <v>TR34/L98H</v>
          </cell>
          <cell r="G856">
            <v>0</v>
          </cell>
          <cell r="H856" t="str">
            <v>Environmental</v>
          </cell>
          <cell r="I856" t="str">
            <v>Wildtype</v>
          </cell>
          <cell r="J856">
            <v>16</v>
          </cell>
          <cell r="K856">
            <v>2</v>
          </cell>
        </row>
        <row r="857">
          <cell r="A857" t="str">
            <v>E326</v>
          </cell>
          <cell r="B857">
            <v>52.347360000000002</v>
          </cell>
          <cell r="C857">
            <v>-1.9358329999999999</v>
          </cell>
          <cell r="D857">
            <v>2018</v>
          </cell>
          <cell r="E857" t="str">
            <v>UK</v>
          </cell>
          <cell r="F857" t="str">
            <v>Wildtype</v>
          </cell>
          <cell r="G857">
            <v>0</v>
          </cell>
          <cell r="H857" t="str">
            <v>Environmental</v>
          </cell>
          <cell r="I857" t="str">
            <v>Wildtype</v>
          </cell>
          <cell r="K857">
            <v>1</v>
          </cell>
        </row>
        <row r="858">
          <cell r="A858" t="str">
            <v>E327</v>
          </cell>
          <cell r="B858">
            <v>52.347360000000002</v>
          </cell>
          <cell r="C858">
            <v>-1.9358329999999999</v>
          </cell>
          <cell r="D858">
            <v>2018</v>
          </cell>
          <cell r="E858" t="str">
            <v>UK</v>
          </cell>
          <cell r="F858" t="str">
            <v>TR34/L98H</v>
          </cell>
          <cell r="G858">
            <v>0</v>
          </cell>
          <cell r="H858" t="str">
            <v>Environmental</v>
          </cell>
          <cell r="I858" t="str">
            <v>Wildtype</v>
          </cell>
          <cell r="J858">
            <v>16</v>
          </cell>
          <cell r="K858">
            <v>3</v>
          </cell>
        </row>
        <row r="859">
          <cell r="A859" t="str">
            <v>E329</v>
          </cell>
          <cell r="B859">
            <v>51.866379000000002</v>
          </cell>
          <cell r="C859">
            <v>-2.2320730000000002</v>
          </cell>
          <cell r="D859">
            <v>2018</v>
          </cell>
          <cell r="E859" t="str">
            <v>UK</v>
          </cell>
          <cell r="F859" t="str">
            <v>Wildtype</v>
          </cell>
          <cell r="G859">
            <v>0</v>
          </cell>
          <cell r="H859" t="str">
            <v>Environmental</v>
          </cell>
          <cell r="I859" t="str">
            <v>Wildtype</v>
          </cell>
          <cell r="K859">
            <v>5</v>
          </cell>
        </row>
        <row r="860">
          <cell r="A860" t="str">
            <v>E33</v>
          </cell>
          <cell r="B860">
            <v>51.505766000000001</v>
          </cell>
          <cell r="C860">
            <v>-3.1738469999999999</v>
          </cell>
          <cell r="D860">
            <v>2015</v>
          </cell>
          <cell r="E860" t="str">
            <v>UK</v>
          </cell>
          <cell r="F860" t="str">
            <v>G54R</v>
          </cell>
          <cell r="G860" t="str">
            <v>MAT1-2</v>
          </cell>
          <cell r="H860" t="str">
            <v>Environmental</v>
          </cell>
          <cell r="I860" t="str">
            <v>Wildtype</v>
          </cell>
          <cell r="J860" t="str">
            <v>&gt;16</v>
          </cell>
          <cell r="K860">
            <v>1</v>
          </cell>
        </row>
        <row r="861">
          <cell r="A861" t="str">
            <v>E330</v>
          </cell>
          <cell r="B861">
            <v>52.132632999999998</v>
          </cell>
          <cell r="C861">
            <v>5.2912660000000002</v>
          </cell>
          <cell r="D861">
            <v>2018</v>
          </cell>
          <cell r="E861" t="str">
            <v>Netherlands</v>
          </cell>
          <cell r="F861" t="str">
            <v>TR34</v>
          </cell>
          <cell r="G861">
            <v>0</v>
          </cell>
          <cell r="H861" t="str">
            <v>Environmental</v>
          </cell>
          <cell r="I861" t="str">
            <v>Wildtype</v>
          </cell>
          <cell r="J861">
            <v>16</v>
          </cell>
          <cell r="K861">
            <v>1</v>
          </cell>
        </row>
        <row r="862">
          <cell r="A862" t="str">
            <v>E331</v>
          </cell>
          <cell r="B862">
            <v>52.132632999999998</v>
          </cell>
          <cell r="C862">
            <v>5.2912660000000002</v>
          </cell>
          <cell r="D862">
            <v>2018</v>
          </cell>
          <cell r="E862" t="str">
            <v>Netherlands</v>
          </cell>
          <cell r="F862" t="str">
            <v>Wildtype</v>
          </cell>
          <cell r="G862">
            <v>0</v>
          </cell>
          <cell r="H862" t="str">
            <v>Environmental</v>
          </cell>
          <cell r="I862" t="str">
            <v>Wildtype</v>
          </cell>
          <cell r="K862">
            <v>4</v>
          </cell>
        </row>
        <row r="863">
          <cell r="A863" t="str">
            <v>E332</v>
          </cell>
          <cell r="B863">
            <v>52.132632999999998</v>
          </cell>
          <cell r="C863">
            <v>5.2912660000000002</v>
          </cell>
          <cell r="D863">
            <v>2018</v>
          </cell>
          <cell r="E863" t="str">
            <v>Netherlands</v>
          </cell>
          <cell r="F863" t="str">
            <v>Wildtype</v>
          </cell>
          <cell r="G863">
            <v>0</v>
          </cell>
          <cell r="H863" t="str">
            <v>Environmental</v>
          </cell>
          <cell r="I863" t="str">
            <v>Wildtype</v>
          </cell>
          <cell r="K863">
            <v>3</v>
          </cell>
        </row>
        <row r="864">
          <cell r="A864" t="str">
            <v>E333</v>
          </cell>
          <cell r="B864">
            <v>52.132632999999998</v>
          </cell>
          <cell r="C864">
            <v>5.2912660000000002</v>
          </cell>
          <cell r="D864">
            <v>2018</v>
          </cell>
          <cell r="E864" t="str">
            <v>Netherlands</v>
          </cell>
          <cell r="F864" t="str">
            <v>TR34/L98H</v>
          </cell>
          <cell r="G864">
            <v>0</v>
          </cell>
          <cell r="H864" t="str">
            <v>Environmental</v>
          </cell>
          <cell r="I864" t="str">
            <v>Wildtype</v>
          </cell>
          <cell r="J864">
            <v>16</v>
          </cell>
          <cell r="K864">
            <v>3</v>
          </cell>
        </row>
        <row r="865">
          <cell r="A865" t="str">
            <v>E334</v>
          </cell>
          <cell r="B865">
            <v>52.132632999999998</v>
          </cell>
          <cell r="C865">
            <v>5.2912660000000002</v>
          </cell>
          <cell r="D865">
            <v>2018</v>
          </cell>
          <cell r="E865" t="str">
            <v>Netherlands</v>
          </cell>
          <cell r="F865" t="str">
            <v>TR34/L98H</v>
          </cell>
          <cell r="G865">
            <v>0</v>
          </cell>
          <cell r="H865" t="str">
            <v>Environmental</v>
          </cell>
          <cell r="I865" t="str">
            <v>F219Y</v>
          </cell>
          <cell r="J865">
            <v>16</v>
          </cell>
          <cell r="K865">
            <v>3</v>
          </cell>
        </row>
        <row r="866">
          <cell r="A866" t="str">
            <v>E335</v>
          </cell>
          <cell r="B866">
            <v>52.132632999999998</v>
          </cell>
          <cell r="C866">
            <v>5.2912660000000002</v>
          </cell>
          <cell r="D866">
            <v>2018</v>
          </cell>
          <cell r="E866" t="str">
            <v>Netherlands</v>
          </cell>
          <cell r="F866" t="str">
            <v>Wildtype</v>
          </cell>
          <cell r="G866">
            <v>0</v>
          </cell>
          <cell r="H866" t="str">
            <v>Environmental</v>
          </cell>
          <cell r="I866" t="str">
            <v>Wildtype</v>
          </cell>
          <cell r="K866">
            <v>3</v>
          </cell>
        </row>
        <row r="867">
          <cell r="A867" t="str">
            <v>E336</v>
          </cell>
          <cell r="B867">
            <v>52.132632999999998</v>
          </cell>
          <cell r="C867">
            <v>5.2912660000000002</v>
          </cell>
          <cell r="D867">
            <v>2018</v>
          </cell>
          <cell r="E867" t="str">
            <v>Netherlands</v>
          </cell>
          <cell r="F867" t="str">
            <v>Wildtype</v>
          </cell>
          <cell r="G867">
            <v>0</v>
          </cell>
          <cell r="H867" t="str">
            <v>Environmental</v>
          </cell>
          <cell r="I867" t="str">
            <v>Wildtype</v>
          </cell>
          <cell r="J867">
            <v>0.12</v>
          </cell>
          <cell r="K867">
            <v>4</v>
          </cell>
        </row>
        <row r="868">
          <cell r="A868" t="str">
            <v>E337</v>
          </cell>
          <cell r="B868">
            <v>52.132632999999998</v>
          </cell>
          <cell r="C868">
            <v>5.2912660000000002</v>
          </cell>
          <cell r="D868">
            <v>2018</v>
          </cell>
          <cell r="E868" t="str">
            <v>Netherlands</v>
          </cell>
          <cell r="F868" t="str">
            <v>TR46/Y121F/T289A</v>
          </cell>
          <cell r="G868">
            <v>0</v>
          </cell>
          <cell r="H868" t="str">
            <v>Environmental</v>
          </cell>
          <cell r="I868" t="str">
            <v>F219Y</v>
          </cell>
          <cell r="J868">
            <v>16</v>
          </cell>
          <cell r="K868">
            <v>3</v>
          </cell>
        </row>
        <row r="869">
          <cell r="A869" t="str">
            <v>E338</v>
          </cell>
          <cell r="B869">
            <v>52.132632999999998</v>
          </cell>
          <cell r="C869">
            <v>5.2912660000000002</v>
          </cell>
          <cell r="D869">
            <v>2018</v>
          </cell>
          <cell r="E869" t="str">
            <v>Netherlands</v>
          </cell>
          <cell r="F869" t="str">
            <v>Wildtype</v>
          </cell>
          <cell r="G869">
            <v>0</v>
          </cell>
          <cell r="H869" t="str">
            <v>Environmental</v>
          </cell>
          <cell r="I869" t="str">
            <v>Wildtype</v>
          </cell>
          <cell r="K869">
            <v>5</v>
          </cell>
        </row>
        <row r="870">
          <cell r="A870" t="str">
            <v>E339</v>
          </cell>
          <cell r="B870">
            <v>52.132632999999998</v>
          </cell>
          <cell r="C870">
            <v>5.2912660000000002</v>
          </cell>
          <cell r="D870">
            <v>2018</v>
          </cell>
          <cell r="E870" t="str">
            <v>Netherlands</v>
          </cell>
          <cell r="F870" t="str">
            <v>TR34/L98H</v>
          </cell>
          <cell r="G870">
            <v>0</v>
          </cell>
          <cell r="H870" t="str">
            <v>Environmental</v>
          </cell>
          <cell r="I870" t="str">
            <v>F219Y</v>
          </cell>
          <cell r="J870">
            <v>16</v>
          </cell>
          <cell r="K870">
            <v>3</v>
          </cell>
        </row>
        <row r="871">
          <cell r="A871" t="str">
            <v>E34</v>
          </cell>
          <cell r="B871">
            <v>51.505766000000001</v>
          </cell>
          <cell r="C871">
            <v>-3.1738469999999999</v>
          </cell>
          <cell r="D871">
            <v>2015</v>
          </cell>
          <cell r="E871" t="str">
            <v>UK</v>
          </cell>
          <cell r="F871" t="str">
            <v>TR34/L98H</v>
          </cell>
          <cell r="G871" t="str">
            <v>MAT1-2</v>
          </cell>
          <cell r="H871" t="str">
            <v>Environmental</v>
          </cell>
          <cell r="I871" t="str">
            <v>Wildtype</v>
          </cell>
          <cell r="J871" t="str">
            <v>&gt;16</v>
          </cell>
          <cell r="K871">
            <v>3</v>
          </cell>
        </row>
        <row r="872">
          <cell r="A872" t="str">
            <v>E340</v>
          </cell>
          <cell r="B872">
            <v>52.132632999999998</v>
          </cell>
          <cell r="C872">
            <v>5.2912660000000002</v>
          </cell>
          <cell r="D872">
            <v>2018</v>
          </cell>
          <cell r="E872" t="str">
            <v>Netherlands</v>
          </cell>
          <cell r="F872" t="str">
            <v>Wildtype</v>
          </cell>
          <cell r="G872">
            <v>0</v>
          </cell>
          <cell r="H872" t="str">
            <v>Environmental</v>
          </cell>
          <cell r="I872" t="str">
            <v>Wildtype</v>
          </cell>
          <cell r="K872">
            <v>5</v>
          </cell>
        </row>
        <row r="873">
          <cell r="A873" t="str">
            <v>E341</v>
          </cell>
          <cell r="B873">
            <v>52.132632999999998</v>
          </cell>
          <cell r="C873">
            <v>5.2912660000000002</v>
          </cell>
          <cell r="D873">
            <v>2018</v>
          </cell>
          <cell r="E873" t="str">
            <v>Netherlands</v>
          </cell>
          <cell r="F873" t="str">
            <v>TR34/L98H</v>
          </cell>
          <cell r="G873">
            <v>0</v>
          </cell>
          <cell r="H873" t="str">
            <v>Environmental</v>
          </cell>
          <cell r="I873" t="str">
            <v>Wildtype</v>
          </cell>
          <cell r="J873">
            <v>16</v>
          </cell>
          <cell r="K873">
            <v>2</v>
          </cell>
        </row>
        <row r="874">
          <cell r="A874" t="str">
            <v>E342</v>
          </cell>
          <cell r="B874">
            <v>50.834432</v>
          </cell>
          <cell r="C874">
            <v>-0.431149</v>
          </cell>
          <cell r="D874">
            <v>2018</v>
          </cell>
          <cell r="E874" t="str">
            <v>UK</v>
          </cell>
          <cell r="F874" t="str">
            <v>TR34/L98H</v>
          </cell>
          <cell r="G874">
            <v>0</v>
          </cell>
          <cell r="H874" t="str">
            <v>Environmental</v>
          </cell>
          <cell r="I874" t="str">
            <v>Wildtype</v>
          </cell>
          <cell r="J874">
            <v>16</v>
          </cell>
          <cell r="K874">
            <v>2</v>
          </cell>
        </row>
        <row r="875">
          <cell r="A875" t="str">
            <v>E343</v>
          </cell>
          <cell r="B875">
            <v>50.834432</v>
          </cell>
          <cell r="C875">
            <v>-0.431149</v>
          </cell>
          <cell r="D875">
            <v>2018</v>
          </cell>
          <cell r="E875" t="str">
            <v>UK</v>
          </cell>
          <cell r="F875" t="str">
            <v>Wildtype</v>
          </cell>
          <cell r="G875">
            <v>0</v>
          </cell>
          <cell r="H875" t="str">
            <v>Environmental</v>
          </cell>
          <cell r="I875" t="str">
            <v>Wildtype</v>
          </cell>
          <cell r="J875">
            <v>0.12</v>
          </cell>
          <cell r="K875">
            <v>4</v>
          </cell>
        </row>
        <row r="876">
          <cell r="A876" t="str">
            <v>E344</v>
          </cell>
          <cell r="B876">
            <v>50.834432</v>
          </cell>
          <cell r="C876">
            <v>-0.431149</v>
          </cell>
          <cell r="D876">
            <v>2018</v>
          </cell>
          <cell r="E876" t="str">
            <v>UK</v>
          </cell>
          <cell r="F876" t="str">
            <v>Wildtype</v>
          </cell>
          <cell r="G876">
            <v>0</v>
          </cell>
          <cell r="H876" t="str">
            <v>Environmental</v>
          </cell>
          <cell r="I876" t="str">
            <v>Wildtype</v>
          </cell>
          <cell r="K876">
            <v>4</v>
          </cell>
        </row>
        <row r="877">
          <cell r="A877" t="str">
            <v>E345</v>
          </cell>
          <cell r="B877">
            <v>53.315514999999998</v>
          </cell>
          <cell r="C877">
            <v>-1.5308949999999999</v>
          </cell>
          <cell r="D877">
            <v>2018</v>
          </cell>
          <cell r="E877" t="str">
            <v>UK</v>
          </cell>
          <cell r="F877" t="str">
            <v>Wildtype/Asp262Tyr</v>
          </cell>
          <cell r="G877">
            <v>0</v>
          </cell>
          <cell r="H877" t="str">
            <v>Environmental</v>
          </cell>
          <cell r="I877" t="str">
            <v>Wildtype</v>
          </cell>
          <cell r="K877">
            <v>5</v>
          </cell>
        </row>
        <row r="878">
          <cell r="A878" t="str">
            <v>E346</v>
          </cell>
          <cell r="B878">
            <v>53.315514999999998</v>
          </cell>
          <cell r="C878">
            <v>-1.5308949999999999</v>
          </cell>
          <cell r="D878">
            <v>2018</v>
          </cell>
          <cell r="E878" t="str">
            <v>UK</v>
          </cell>
          <cell r="F878" t="str">
            <v>Wildtype</v>
          </cell>
          <cell r="G878">
            <v>0</v>
          </cell>
          <cell r="H878" t="str">
            <v>Environmental</v>
          </cell>
          <cell r="I878" t="str">
            <v>Wildtype</v>
          </cell>
          <cell r="J878">
            <v>0.125</v>
          </cell>
          <cell r="K878">
            <v>5</v>
          </cell>
        </row>
        <row r="879">
          <cell r="A879" t="str">
            <v>E347</v>
          </cell>
          <cell r="B879">
            <v>53.315514999999998</v>
          </cell>
          <cell r="C879">
            <v>-1.5308949999999999</v>
          </cell>
          <cell r="D879">
            <v>2018</v>
          </cell>
          <cell r="E879" t="str">
            <v>UK</v>
          </cell>
          <cell r="F879" t="str">
            <v>TR34/L98H</v>
          </cell>
          <cell r="G879">
            <v>0</v>
          </cell>
          <cell r="H879" t="str">
            <v>Environmental</v>
          </cell>
          <cell r="I879" t="str">
            <v>Wildtype</v>
          </cell>
          <cell r="J879">
            <v>16</v>
          </cell>
          <cell r="K879">
            <v>2</v>
          </cell>
        </row>
        <row r="880">
          <cell r="A880" t="str">
            <v>E348</v>
          </cell>
          <cell r="B880">
            <v>50.350321000000001</v>
          </cell>
          <cell r="C880">
            <v>-4.0331669999999997</v>
          </cell>
          <cell r="D880">
            <v>2018</v>
          </cell>
          <cell r="E880" t="str">
            <v>UK</v>
          </cell>
          <cell r="F880" t="str">
            <v>Wildtype</v>
          </cell>
          <cell r="G880">
            <v>0</v>
          </cell>
          <cell r="H880" t="str">
            <v>Environmental</v>
          </cell>
          <cell r="I880" t="str">
            <v>Wildtype</v>
          </cell>
          <cell r="J880">
            <v>0.06</v>
          </cell>
          <cell r="K880">
            <v>4</v>
          </cell>
        </row>
        <row r="881">
          <cell r="A881" t="str">
            <v>E349</v>
          </cell>
          <cell r="B881">
            <v>50.350321000000001</v>
          </cell>
          <cell r="C881">
            <v>-4.0331669999999997</v>
          </cell>
          <cell r="D881">
            <v>2018</v>
          </cell>
          <cell r="E881" t="str">
            <v>UK</v>
          </cell>
          <cell r="F881" t="str">
            <v>TR34/L98H</v>
          </cell>
          <cell r="G881">
            <v>0</v>
          </cell>
          <cell r="H881" t="str">
            <v>Environmental</v>
          </cell>
          <cell r="I881" t="str">
            <v>F219Y</v>
          </cell>
          <cell r="J881">
            <v>16</v>
          </cell>
          <cell r="K881">
            <v>3</v>
          </cell>
        </row>
        <row r="882">
          <cell r="A882" t="str">
            <v>E35</v>
          </cell>
          <cell r="B882">
            <v>51.505766000000001</v>
          </cell>
          <cell r="C882">
            <v>-3.1738469999999999</v>
          </cell>
          <cell r="D882">
            <v>2015</v>
          </cell>
          <cell r="E882" t="str">
            <v>UK</v>
          </cell>
          <cell r="F882" t="str">
            <v>TR34/L98H</v>
          </cell>
          <cell r="G882" t="str">
            <v>MAT1-1</v>
          </cell>
          <cell r="H882" t="str">
            <v>Environmental</v>
          </cell>
          <cell r="I882" t="str">
            <v>Wildtype</v>
          </cell>
          <cell r="J882" t="str">
            <v>&gt;16</v>
          </cell>
          <cell r="K882">
            <v>3</v>
          </cell>
        </row>
        <row r="883">
          <cell r="A883" t="str">
            <v>E350</v>
          </cell>
          <cell r="B883">
            <v>50.350321000000001</v>
          </cell>
          <cell r="C883">
            <v>-4.0331669999999997</v>
          </cell>
          <cell r="D883">
            <v>2018</v>
          </cell>
          <cell r="E883" t="str">
            <v>UK</v>
          </cell>
          <cell r="F883" t="str">
            <v>Wildtype</v>
          </cell>
          <cell r="G883">
            <v>0</v>
          </cell>
          <cell r="H883" t="str">
            <v>Environmental</v>
          </cell>
          <cell r="I883" t="str">
            <v>Wildtype</v>
          </cell>
          <cell r="K883">
            <v>4</v>
          </cell>
        </row>
        <row r="884">
          <cell r="A884" t="str">
            <v>E351</v>
          </cell>
          <cell r="B884">
            <v>50.350321000000001</v>
          </cell>
          <cell r="C884">
            <v>-4.0331669999999997</v>
          </cell>
          <cell r="D884">
            <v>2018</v>
          </cell>
          <cell r="E884" t="str">
            <v>UK</v>
          </cell>
          <cell r="F884" t="str">
            <v>Wildtype</v>
          </cell>
          <cell r="G884">
            <v>0</v>
          </cell>
          <cell r="H884" t="str">
            <v>Environmental</v>
          </cell>
          <cell r="I884" t="str">
            <v>Wildtype</v>
          </cell>
          <cell r="K884">
            <v>4</v>
          </cell>
        </row>
        <row r="885">
          <cell r="A885" t="str">
            <v>E352</v>
          </cell>
          <cell r="B885">
            <v>50.350321000000001</v>
          </cell>
          <cell r="C885">
            <v>-4.0331669999999997</v>
          </cell>
          <cell r="D885">
            <v>2018</v>
          </cell>
          <cell r="E885" t="str">
            <v>UK</v>
          </cell>
          <cell r="F885" t="str">
            <v>Wildtype</v>
          </cell>
          <cell r="G885">
            <v>0</v>
          </cell>
          <cell r="H885" t="str">
            <v>Environmental</v>
          </cell>
          <cell r="I885" t="str">
            <v>Wildtype</v>
          </cell>
          <cell r="K885">
            <v>3</v>
          </cell>
        </row>
        <row r="886">
          <cell r="A886" t="str">
            <v>E353</v>
          </cell>
          <cell r="B886">
            <v>50.350321000000001</v>
          </cell>
          <cell r="C886">
            <v>-4.0331669999999997</v>
          </cell>
          <cell r="D886">
            <v>2018</v>
          </cell>
          <cell r="E886" t="str">
            <v>UK</v>
          </cell>
          <cell r="F886" t="str">
            <v>TR34/L98H</v>
          </cell>
          <cell r="G886">
            <v>0</v>
          </cell>
          <cell r="H886" t="str">
            <v>Environmental</v>
          </cell>
          <cell r="I886" t="str">
            <v>F219Y</v>
          </cell>
          <cell r="J886">
            <v>16</v>
          </cell>
          <cell r="K886">
            <v>1</v>
          </cell>
        </row>
        <row r="887">
          <cell r="A887" t="str">
            <v>E354</v>
          </cell>
          <cell r="B887">
            <v>50.350321000000001</v>
          </cell>
          <cell r="C887">
            <v>-4.0331669999999997</v>
          </cell>
          <cell r="D887">
            <v>2018</v>
          </cell>
          <cell r="E887" t="str">
            <v>UK</v>
          </cell>
          <cell r="F887" t="str">
            <v>Wildtype</v>
          </cell>
          <cell r="G887">
            <v>0</v>
          </cell>
          <cell r="H887" t="str">
            <v>Environmental</v>
          </cell>
          <cell r="I887" t="str">
            <v>Wildtype</v>
          </cell>
          <cell r="J887">
            <v>0.06</v>
          </cell>
          <cell r="K887">
            <v>3</v>
          </cell>
        </row>
        <row r="888">
          <cell r="A888" t="str">
            <v>E355</v>
          </cell>
          <cell r="B888">
            <v>50.350321000000001</v>
          </cell>
          <cell r="C888">
            <v>-4.0331669999999997</v>
          </cell>
          <cell r="D888">
            <v>2018</v>
          </cell>
          <cell r="E888" t="str">
            <v>UK</v>
          </cell>
          <cell r="F888" t="str">
            <v>TR34/L98H</v>
          </cell>
          <cell r="G888">
            <v>0</v>
          </cell>
          <cell r="H888" t="str">
            <v>Environmental</v>
          </cell>
          <cell r="I888" t="str">
            <v>F219Y</v>
          </cell>
          <cell r="J888">
            <v>16</v>
          </cell>
          <cell r="K888">
            <v>1</v>
          </cell>
        </row>
        <row r="889">
          <cell r="A889" t="str">
            <v>E356</v>
          </cell>
          <cell r="B889">
            <v>53.017069999999997</v>
          </cell>
          <cell r="C889">
            <v>-1.6299360000000001</v>
          </cell>
          <cell r="D889">
            <v>2018</v>
          </cell>
          <cell r="E889" t="str">
            <v>UK</v>
          </cell>
          <cell r="F889" t="str">
            <v>Wildtype</v>
          </cell>
          <cell r="G889">
            <v>0</v>
          </cell>
          <cell r="H889" t="str">
            <v>Environmental</v>
          </cell>
          <cell r="I889" t="str">
            <v>Wildtype</v>
          </cell>
          <cell r="J889">
            <v>0.12</v>
          </cell>
          <cell r="K889">
            <v>5</v>
          </cell>
        </row>
        <row r="890">
          <cell r="A890" t="str">
            <v>E357</v>
          </cell>
          <cell r="B890">
            <v>53.017069999999997</v>
          </cell>
          <cell r="C890">
            <v>-1.6299360000000001</v>
          </cell>
          <cell r="D890">
            <v>2018</v>
          </cell>
          <cell r="E890" t="str">
            <v>UK</v>
          </cell>
          <cell r="F890" t="str">
            <v>TR34/L98H</v>
          </cell>
          <cell r="G890">
            <v>0</v>
          </cell>
          <cell r="H890" t="str">
            <v>Environmental</v>
          </cell>
          <cell r="I890" t="str">
            <v>Wildtype</v>
          </cell>
          <cell r="J890">
            <v>16</v>
          </cell>
          <cell r="K890">
            <v>2</v>
          </cell>
        </row>
        <row r="891">
          <cell r="A891" t="str">
            <v>E359</v>
          </cell>
          <cell r="B891">
            <v>52.433630999999998</v>
          </cell>
          <cell r="C891">
            <v>-1.7900780000000001</v>
          </cell>
          <cell r="D891">
            <v>2018</v>
          </cell>
          <cell r="E891" t="str">
            <v>UK</v>
          </cell>
          <cell r="F891" t="str">
            <v>TR34/L98H</v>
          </cell>
          <cell r="G891">
            <v>0</v>
          </cell>
          <cell r="H891" t="str">
            <v>Environmental</v>
          </cell>
          <cell r="I891" t="str">
            <v>Wildtype</v>
          </cell>
          <cell r="J891">
            <v>16</v>
          </cell>
          <cell r="K891">
            <v>2</v>
          </cell>
        </row>
        <row r="892">
          <cell r="A892" t="str">
            <v>E36</v>
          </cell>
          <cell r="B892">
            <v>51.505766000000001</v>
          </cell>
          <cell r="C892">
            <v>-3.1738469999999999</v>
          </cell>
          <cell r="D892">
            <v>2015</v>
          </cell>
          <cell r="E892" t="str">
            <v>UK</v>
          </cell>
          <cell r="F892" t="str">
            <v>TR34/L98H</v>
          </cell>
          <cell r="G892" t="str">
            <v>MAT1-2</v>
          </cell>
          <cell r="H892" t="str">
            <v>Environmental</v>
          </cell>
          <cell r="I892" t="str">
            <v>F219Y</v>
          </cell>
          <cell r="J892" t="str">
            <v>&gt;16</v>
          </cell>
          <cell r="K892">
            <v>3</v>
          </cell>
        </row>
        <row r="893">
          <cell r="A893" t="str">
            <v>E360</v>
          </cell>
          <cell r="B893">
            <v>52.433630999999998</v>
          </cell>
          <cell r="C893">
            <v>-1.7900780000000001</v>
          </cell>
          <cell r="D893">
            <v>2018</v>
          </cell>
          <cell r="E893" t="str">
            <v>UK</v>
          </cell>
          <cell r="F893" t="str">
            <v>Wildtype</v>
          </cell>
          <cell r="G893">
            <v>0</v>
          </cell>
          <cell r="H893" t="str">
            <v>Environmental</v>
          </cell>
          <cell r="I893" t="str">
            <v>Wildtype</v>
          </cell>
          <cell r="K893">
            <v>4</v>
          </cell>
        </row>
        <row r="894">
          <cell r="A894" t="str">
            <v>E361</v>
          </cell>
          <cell r="B894">
            <v>52.433630999999998</v>
          </cell>
          <cell r="C894">
            <v>-1.7900780000000001</v>
          </cell>
          <cell r="D894">
            <v>2018</v>
          </cell>
          <cell r="E894" t="str">
            <v>UK</v>
          </cell>
          <cell r="F894" t="str">
            <v>Wildtype</v>
          </cell>
          <cell r="G894">
            <v>0</v>
          </cell>
          <cell r="H894" t="str">
            <v>Environmental</v>
          </cell>
          <cell r="I894" t="str">
            <v>Wildtype</v>
          </cell>
          <cell r="K894">
            <v>5</v>
          </cell>
        </row>
        <row r="895">
          <cell r="A895" t="str">
            <v>E362</v>
          </cell>
          <cell r="B895">
            <v>52.433630999999998</v>
          </cell>
          <cell r="C895">
            <v>-1.7900780000000001</v>
          </cell>
          <cell r="D895">
            <v>2018</v>
          </cell>
          <cell r="E895" t="str">
            <v>UK</v>
          </cell>
          <cell r="F895" t="str">
            <v>Wildtype</v>
          </cell>
          <cell r="G895">
            <v>0</v>
          </cell>
          <cell r="H895" t="str">
            <v>Environmental</v>
          </cell>
          <cell r="I895" t="str">
            <v>Wildtype</v>
          </cell>
          <cell r="J895">
            <v>0.12</v>
          </cell>
          <cell r="K895">
            <v>5</v>
          </cell>
        </row>
        <row r="896">
          <cell r="A896" t="str">
            <v>E363</v>
          </cell>
          <cell r="D896">
            <v>2018</v>
          </cell>
          <cell r="F896" t="str">
            <v>Wildtype</v>
          </cell>
          <cell r="H896" t="str">
            <v>Environmental</v>
          </cell>
          <cell r="I896" t="str">
            <v>Wildtype</v>
          </cell>
          <cell r="K896">
            <v>4</v>
          </cell>
        </row>
        <row r="897">
          <cell r="A897" t="str">
            <v>E364</v>
          </cell>
          <cell r="B897">
            <v>52.433630999999998</v>
          </cell>
          <cell r="C897">
            <v>-1.7900780000000001</v>
          </cell>
          <cell r="D897">
            <v>2018</v>
          </cell>
          <cell r="E897" t="str">
            <v>UK</v>
          </cell>
          <cell r="F897" t="str">
            <v>TR34/L98H</v>
          </cell>
          <cell r="G897">
            <v>0</v>
          </cell>
          <cell r="H897" t="str">
            <v>Environmental</v>
          </cell>
          <cell r="I897" t="str">
            <v>Wildtype</v>
          </cell>
          <cell r="J897">
            <v>16</v>
          </cell>
          <cell r="K897">
            <v>2</v>
          </cell>
        </row>
        <row r="898">
          <cell r="A898" t="str">
            <v>E365</v>
          </cell>
          <cell r="B898">
            <v>50.101925000000001</v>
          </cell>
          <cell r="C898">
            <v>-5.5510989999999998</v>
          </cell>
          <cell r="D898">
            <v>2018</v>
          </cell>
          <cell r="E898" t="str">
            <v>UK</v>
          </cell>
          <cell r="F898" t="str">
            <v>Wildtype</v>
          </cell>
          <cell r="G898">
            <v>0</v>
          </cell>
          <cell r="H898" t="str">
            <v>Environmental</v>
          </cell>
          <cell r="I898" t="str">
            <v>Wildtype</v>
          </cell>
          <cell r="J898">
            <v>16</v>
          </cell>
          <cell r="K898">
            <v>5</v>
          </cell>
        </row>
        <row r="899">
          <cell r="A899" t="str">
            <v>E367</v>
          </cell>
          <cell r="B899">
            <v>52.539790000000004</v>
          </cell>
          <cell r="C899">
            <v>13.262126</v>
          </cell>
          <cell r="D899">
            <v>2018</v>
          </cell>
          <cell r="E899" t="str">
            <v>Germany</v>
          </cell>
          <cell r="F899" t="str">
            <v>Wildtype</v>
          </cell>
          <cell r="G899">
            <v>0</v>
          </cell>
          <cell r="H899" t="str">
            <v>Environmental</v>
          </cell>
          <cell r="I899" t="str">
            <v>Wildtype</v>
          </cell>
          <cell r="K899">
            <v>3</v>
          </cell>
        </row>
        <row r="900">
          <cell r="A900" t="str">
            <v>E368</v>
          </cell>
          <cell r="B900">
            <v>52.539790000000004</v>
          </cell>
          <cell r="C900">
            <v>13.262126</v>
          </cell>
          <cell r="D900">
            <v>2018</v>
          </cell>
          <cell r="E900" t="str">
            <v>Germany</v>
          </cell>
          <cell r="F900" t="str">
            <v>TR34/L98H</v>
          </cell>
          <cell r="G900">
            <v>0</v>
          </cell>
          <cell r="H900" t="str">
            <v>Environmental</v>
          </cell>
          <cell r="I900" t="str">
            <v>Wildtype</v>
          </cell>
          <cell r="J900">
            <v>16</v>
          </cell>
          <cell r="K900">
            <v>3</v>
          </cell>
        </row>
        <row r="901">
          <cell r="A901" t="str">
            <v>E369</v>
          </cell>
          <cell r="B901">
            <v>51.330869999999997</v>
          </cell>
          <cell r="C901">
            <v>12.439071</v>
          </cell>
          <cell r="D901">
            <v>2018</v>
          </cell>
          <cell r="E901" t="str">
            <v>Germany</v>
          </cell>
          <cell r="F901" t="str">
            <v>Wildtype</v>
          </cell>
          <cell r="G901">
            <v>0</v>
          </cell>
          <cell r="H901" t="str">
            <v>Environmental</v>
          </cell>
          <cell r="I901" t="str">
            <v>Wildtype</v>
          </cell>
          <cell r="K901">
            <v>3</v>
          </cell>
        </row>
        <row r="902">
          <cell r="A902" t="str">
            <v>E37</v>
          </cell>
          <cell r="B902">
            <v>51.505766000000001</v>
          </cell>
          <cell r="C902">
            <v>-3.1738469999999999</v>
          </cell>
          <cell r="D902">
            <v>2015</v>
          </cell>
          <cell r="E902" t="str">
            <v>UK</v>
          </cell>
          <cell r="F902" t="str">
            <v>TR34/L98H</v>
          </cell>
          <cell r="G902" t="str">
            <v>MAT1-2</v>
          </cell>
          <cell r="H902" t="str">
            <v>Environmental</v>
          </cell>
          <cell r="I902" t="str">
            <v>F219Y</v>
          </cell>
          <cell r="K902">
            <v>1</v>
          </cell>
        </row>
        <row r="903">
          <cell r="A903" t="str">
            <v>E370</v>
          </cell>
          <cell r="B903">
            <v>51.330869999999997</v>
          </cell>
          <cell r="C903">
            <v>12.439071</v>
          </cell>
          <cell r="D903">
            <v>2018</v>
          </cell>
          <cell r="E903" t="str">
            <v>Germany</v>
          </cell>
          <cell r="F903" t="str">
            <v>TR34/L98H</v>
          </cell>
          <cell r="G903">
            <v>0</v>
          </cell>
          <cell r="H903" t="str">
            <v>Environmental</v>
          </cell>
          <cell r="I903" t="str">
            <v>Wildtype</v>
          </cell>
          <cell r="J903">
            <v>16</v>
          </cell>
          <cell r="K903">
            <v>2</v>
          </cell>
        </row>
        <row r="904">
          <cell r="A904" t="str">
            <v>E371</v>
          </cell>
          <cell r="B904">
            <v>51.538055</v>
          </cell>
          <cell r="C904">
            <v>1.2500000000000001E-2</v>
          </cell>
          <cell r="D904">
            <v>2018</v>
          </cell>
          <cell r="E904" t="str">
            <v>UK</v>
          </cell>
          <cell r="F904" t="str">
            <v>Wildtype</v>
          </cell>
          <cell r="G904">
            <v>0</v>
          </cell>
          <cell r="H904" t="str">
            <v>Environmental</v>
          </cell>
          <cell r="I904" t="str">
            <v>Wildtype</v>
          </cell>
          <cell r="K904">
            <v>5</v>
          </cell>
        </row>
        <row r="905">
          <cell r="A905" t="str">
            <v>E372</v>
          </cell>
          <cell r="B905">
            <v>51.538055</v>
          </cell>
          <cell r="C905">
            <v>1.2500000000000001E-2</v>
          </cell>
          <cell r="D905">
            <v>2018</v>
          </cell>
          <cell r="E905" t="str">
            <v>UK</v>
          </cell>
          <cell r="F905" t="str">
            <v>Wildtype</v>
          </cell>
          <cell r="G905">
            <v>0</v>
          </cell>
          <cell r="H905" t="str">
            <v>Environmental</v>
          </cell>
          <cell r="I905" t="str">
            <v>Wildtype</v>
          </cell>
          <cell r="K905">
            <v>5</v>
          </cell>
        </row>
        <row r="906">
          <cell r="A906" t="str">
            <v>E373</v>
          </cell>
          <cell r="B906">
            <v>51.538055</v>
          </cell>
          <cell r="C906">
            <v>1.2500000000000001E-2</v>
          </cell>
          <cell r="D906">
            <v>2018</v>
          </cell>
          <cell r="E906" t="str">
            <v>UK</v>
          </cell>
          <cell r="F906" t="str">
            <v>TR34</v>
          </cell>
          <cell r="G906">
            <v>0</v>
          </cell>
          <cell r="H906" t="str">
            <v>Environmental</v>
          </cell>
          <cell r="I906" t="str">
            <v>Wildtype</v>
          </cell>
          <cell r="J906">
            <v>16</v>
          </cell>
          <cell r="K906">
            <v>2</v>
          </cell>
        </row>
        <row r="907">
          <cell r="A907" t="str">
            <v>E374</v>
          </cell>
          <cell r="B907">
            <v>51.538055</v>
          </cell>
          <cell r="C907">
            <v>1.2500000000000001E-2</v>
          </cell>
          <cell r="D907">
            <v>2018</v>
          </cell>
          <cell r="E907" t="str">
            <v>UK</v>
          </cell>
          <cell r="F907" t="str">
            <v>TR34/L98H</v>
          </cell>
          <cell r="G907">
            <v>0</v>
          </cell>
          <cell r="H907" t="str">
            <v>Environmental</v>
          </cell>
          <cell r="I907" t="str">
            <v>Wildtype</v>
          </cell>
          <cell r="J907">
            <v>16</v>
          </cell>
          <cell r="K907">
            <v>3</v>
          </cell>
        </row>
        <row r="908">
          <cell r="A908" t="str">
            <v>E375</v>
          </cell>
          <cell r="B908">
            <v>53.332988999999998</v>
          </cell>
          <cell r="C908">
            <v>-2.2143169999999999</v>
          </cell>
          <cell r="D908">
            <v>2018</v>
          </cell>
          <cell r="E908" t="str">
            <v>UK</v>
          </cell>
          <cell r="F908" t="str">
            <v>Wildtype/Asp262Tyr</v>
          </cell>
          <cell r="G908">
            <v>0</v>
          </cell>
          <cell r="H908" t="str">
            <v>Environmental</v>
          </cell>
          <cell r="I908" t="str">
            <v>Wildtype</v>
          </cell>
          <cell r="J908">
            <v>0.12</v>
          </cell>
          <cell r="K908">
            <v>4</v>
          </cell>
        </row>
        <row r="909">
          <cell r="A909" t="str">
            <v>E376</v>
          </cell>
          <cell r="B909">
            <v>53.332988999999998</v>
          </cell>
          <cell r="C909">
            <v>-2.2143169999999999</v>
          </cell>
          <cell r="D909">
            <v>2018</v>
          </cell>
          <cell r="E909" t="str">
            <v>UK</v>
          </cell>
          <cell r="F909" t="str">
            <v>TR34/L98H</v>
          </cell>
          <cell r="G909">
            <v>0</v>
          </cell>
          <cell r="H909" t="str">
            <v>Environmental</v>
          </cell>
          <cell r="I909" t="str">
            <v>Wildtype</v>
          </cell>
          <cell r="J909">
            <v>16</v>
          </cell>
          <cell r="K909">
            <v>2</v>
          </cell>
        </row>
        <row r="910">
          <cell r="A910" t="str">
            <v>E377</v>
          </cell>
          <cell r="B910">
            <v>53.332988999999998</v>
          </cell>
          <cell r="C910">
            <v>-2.2143169999999999</v>
          </cell>
          <cell r="D910">
            <v>2018</v>
          </cell>
          <cell r="E910" t="str">
            <v>UK</v>
          </cell>
          <cell r="F910" t="str">
            <v>Wildtype</v>
          </cell>
          <cell r="G910">
            <v>0</v>
          </cell>
          <cell r="H910" t="str">
            <v>Environmental</v>
          </cell>
          <cell r="I910" t="str">
            <v>Wildtype</v>
          </cell>
          <cell r="K910">
            <v>5</v>
          </cell>
        </row>
        <row r="911">
          <cell r="A911" t="str">
            <v>E378</v>
          </cell>
          <cell r="B911">
            <v>53.302646000000003</v>
          </cell>
          <cell r="C911">
            <v>-3.8158810000000001</v>
          </cell>
          <cell r="D911">
            <v>2018</v>
          </cell>
          <cell r="E911" t="str">
            <v>UK</v>
          </cell>
          <cell r="F911" t="str">
            <v>Wildtype</v>
          </cell>
          <cell r="G911">
            <v>0</v>
          </cell>
          <cell r="H911" t="str">
            <v>Environmental</v>
          </cell>
          <cell r="I911" t="str">
            <v>Wildtype</v>
          </cell>
          <cell r="K911">
            <v>3</v>
          </cell>
        </row>
        <row r="912">
          <cell r="A912" t="str">
            <v>E379</v>
          </cell>
          <cell r="B912">
            <v>53.302646000000003</v>
          </cell>
          <cell r="C912">
            <v>-3.8158810000000001</v>
          </cell>
          <cell r="D912">
            <v>2018</v>
          </cell>
          <cell r="E912" t="str">
            <v>UK</v>
          </cell>
          <cell r="F912" t="str">
            <v>Wildtype</v>
          </cell>
          <cell r="G912">
            <v>0</v>
          </cell>
          <cell r="H912" t="str">
            <v>Environmental</v>
          </cell>
          <cell r="I912" t="str">
            <v>Wildtype</v>
          </cell>
          <cell r="J912">
            <v>16</v>
          </cell>
          <cell r="K912">
            <v>4</v>
          </cell>
        </row>
        <row r="913">
          <cell r="A913" t="str">
            <v>E38</v>
          </cell>
          <cell r="B913">
            <v>51.644322000000003</v>
          </cell>
          <cell r="C913">
            <v>-2.6748720000000001</v>
          </cell>
          <cell r="D913">
            <v>2015</v>
          </cell>
          <cell r="E913" t="str">
            <v>UK</v>
          </cell>
          <cell r="F913" t="str">
            <v>TR34/L98H</v>
          </cell>
          <cell r="G913" t="str">
            <v>MAT1-2</v>
          </cell>
          <cell r="H913" t="str">
            <v>Environmental</v>
          </cell>
          <cell r="I913" t="str">
            <v>Wildtype</v>
          </cell>
          <cell r="K913">
            <v>2</v>
          </cell>
        </row>
        <row r="914">
          <cell r="A914" t="str">
            <v>E380</v>
          </cell>
          <cell r="B914">
            <v>54.395997999999999</v>
          </cell>
          <cell r="C914">
            <v>-3.4787539999999999</v>
          </cell>
          <cell r="D914">
            <v>2018</v>
          </cell>
          <cell r="E914" t="str">
            <v>UK</v>
          </cell>
          <cell r="F914" t="str">
            <v>TR34/L98H</v>
          </cell>
          <cell r="G914">
            <v>0</v>
          </cell>
          <cell r="H914" t="str">
            <v>Environmental</v>
          </cell>
          <cell r="I914" t="str">
            <v>Wildtype</v>
          </cell>
          <cell r="J914">
            <v>16</v>
          </cell>
          <cell r="K914">
            <v>2</v>
          </cell>
        </row>
        <row r="915">
          <cell r="A915" t="str">
            <v>E381</v>
          </cell>
          <cell r="B915">
            <v>54.395997999999999</v>
          </cell>
          <cell r="C915">
            <v>-3.4787539999999999</v>
          </cell>
          <cell r="D915">
            <v>2018</v>
          </cell>
          <cell r="E915" t="str">
            <v>UK</v>
          </cell>
          <cell r="F915" t="str">
            <v>TR34/L98H</v>
          </cell>
          <cell r="G915">
            <v>0</v>
          </cell>
          <cell r="H915" t="str">
            <v>Environmental</v>
          </cell>
          <cell r="I915" t="str">
            <v>Wildtype</v>
          </cell>
          <cell r="J915">
            <v>16</v>
          </cell>
          <cell r="K915">
            <v>2</v>
          </cell>
        </row>
        <row r="916">
          <cell r="A916" t="str">
            <v>E382</v>
          </cell>
          <cell r="B916">
            <v>52.206240999999999</v>
          </cell>
          <cell r="C916">
            <v>1.5814429999999999</v>
          </cell>
          <cell r="D916">
            <v>2018</v>
          </cell>
          <cell r="E916" t="str">
            <v>UK</v>
          </cell>
          <cell r="F916" t="str">
            <v>TR34/L98H</v>
          </cell>
          <cell r="G916">
            <v>0</v>
          </cell>
          <cell r="H916" t="str">
            <v>Environmental</v>
          </cell>
          <cell r="I916" t="str">
            <v>Wildtype</v>
          </cell>
          <cell r="J916">
            <v>16</v>
          </cell>
          <cell r="K916">
            <v>2</v>
          </cell>
        </row>
        <row r="917">
          <cell r="A917" t="str">
            <v>E383</v>
          </cell>
          <cell r="B917">
            <v>51.730567999999998</v>
          </cell>
          <cell r="C917">
            <v>-0.45395099999999999</v>
          </cell>
          <cell r="D917">
            <v>2018</v>
          </cell>
          <cell r="E917" t="str">
            <v>UK</v>
          </cell>
          <cell r="F917" t="str">
            <v>TR34/L98H</v>
          </cell>
          <cell r="G917">
            <v>0</v>
          </cell>
          <cell r="H917" t="str">
            <v>Environmental</v>
          </cell>
          <cell r="I917" t="str">
            <v>Wildtype</v>
          </cell>
          <cell r="J917">
            <v>16</v>
          </cell>
          <cell r="K917">
            <v>4</v>
          </cell>
        </row>
        <row r="918">
          <cell r="A918" t="str">
            <v>E385</v>
          </cell>
          <cell r="B918">
            <v>55.016537999999997</v>
          </cell>
          <cell r="C918">
            <v>-1.6196839999999999</v>
          </cell>
          <cell r="D918">
            <v>2018</v>
          </cell>
          <cell r="E918" t="str">
            <v>UK</v>
          </cell>
          <cell r="F918" t="str">
            <v>TR34/L98H</v>
          </cell>
          <cell r="G918">
            <v>0</v>
          </cell>
          <cell r="H918" t="str">
            <v>Environmental</v>
          </cell>
          <cell r="I918" t="str">
            <v>Wildtype</v>
          </cell>
          <cell r="J918">
            <v>16</v>
          </cell>
          <cell r="K918">
            <v>2</v>
          </cell>
        </row>
        <row r="919">
          <cell r="A919" t="str">
            <v>E386</v>
          </cell>
          <cell r="B919">
            <v>50.930813000000001</v>
          </cell>
          <cell r="C919">
            <v>-1.443425</v>
          </cell>
          <cell r="D919">
            <v>2018</v>
          </cell>
          <cell r="E919" t="str">
            <v>UK</v>
          </cell>
          <cell r="F919" t="str">
            <v>TR34/L98H</v>
          </cell>
          <cell r="G919">
            <v>0</v>
          </cell>
          <cell r="H919" t="str">
            <v>Environmental</v>
          </cell>
          <cell r="I919" t="str">
            <v>F219Y</v>
          </cell>
          <cell r="J919">
            <v>16</v>
          </cell>
          <cell r="K919">
            <v>1</v>
          </cell>
        </row>
        <row r="920">
          <cell r="A920" t="str">
            <v>E387</v>
          </cell>
          <cell r="B920">
            <v>51.594887999999997</v>
          </cell>
          <cell r="C920">
            <v>-1.1255900000000001</v>
          </cell>
          <cell r="D920">
            <v>2018</v>
          </cell>
          <cell r="E920" t="str">
            <v>UK</v>
          </cell>
          <cell r="F920" t="str">
            <v>Wildtype</v>
          </cell>
          <cell r="G920">
            <v>0</v>
          </cell>
          <cell r="H920" t="str">
            <v>Environmental</v>
          </cell>
          <cell r="I920" t="str">
            <v>Wildtype</v>
          </cell>
          <cell r="K920">
            <v>4</v>
          </cell>
        </row>
        <row r="921">
          <cell r="A921" t="str">
            <v>E388</v>
          </cell>
          <cell r="B921">
            <v>51.496174000000003</v>
          </cell>
          <cell r="C921">
            <v>-2.596247</v>
          </cell>
          <cell r="D921">
            <v>2018</v>
          </cell>
          <cell r="E921" t="str">
            <v>UK</v>
          </cell>
          <cell r="F921" t="str">
            <v>Wildtype</v>
          </cell>
          <cell r="G921">
            <v>0</v>
          </cell>
          <cell r="H921" t="str">
            <v>Environmental</v>
          </cell>
          <cell r="I921" t="str">
            <v>Wildtype</v>
          </cell>
          <cell r="J921">
            <v>0.12</v>
          </cell>
          <cell r="K921">
            <v>5</v>
          </cell>
        </row>
        <row r="922">
          <cell r="A922" t="str">
            <v>E389</v>
          </cell>
          <cell r="B922">
            <v>53.339300000000001</v>
          </cell>
          <cell r="C922">
            <v>6.2965</v>
          </cell>
          <cell r="D922">
            <v>2021</v>
          </cell>
          <cell r="E922" t="str">
            <v>Republic of Ireland</v>
          </cell>
          <cell r="F922" t="str">
            <v>TR34/L98H</v>
          </cell>
          <cell r="G922">
            <v>0</v>
          </cell>
          <cell r="H922" t="str">
            <v>Environmental</v>
          </cell>
          <cell r="I922" t="str">
            <v>Wildtype</v>
          </cell>
          <cell r="K922">
            <v>3</v>
          </cell>
        </row>
        <row r="923">
          <cell r="A923" t="str">
            <v>E39</v>
          </cell>
          <cell r="B923">
            <v>53.349805000000003</v>
          </cell>
          <cell r="C923">
            <v>-6.2603099999999996</v>
          </cell>
          <cell r="D923">
            <v>2014</v>
          </cell>
          <cell r="E923" t="str">
            <v>Republic of Ireland</v>
          </cell>
          <cell r="F923" t="str">
            <v>TR34/L98H</v>
          </cell>
          <cell r="G923" t="str">
            <v>MAT1-1</v>
          </cell>
          <cell r="H923" t="str">
            <v>Environmental</v>
          </cell>
          <cell r="I923" t="str">
            <v>Wildtype</v>
          </cell>
          <cell r="K923">
            <v>3</v>
          </cell>
        </row>
        <row r="924">
          <cell r="A924" t="str">
            <v>E390</v>
          </cell>
          <cell r="B924">
            <v>53.339300000000001</v>
          </cell>
          <cell r="C924">
            <v>6.2965</v>
          </cell>
          <cell r="D924">
            <v>2021</v>
          </cell>
          <cell r="E924" t="str">
            <v>Republic of Ireland</v>
          </cell>
          <cell r="F924" t="str">
            <v>TR34/L98H</v>
          </cell>
          <cell r="G924">
            <v>0</v>
          </cell>
          <cell r="H924" t="str">
            <v>Environmental</v>
          </cell>
          <cell r="I924" t="str">
            <v>Wildtype</v>
          </cell>
          <cell r="K924">
            <v>3</v>
          </cell>
        </row>
        <row r="925">
          <cell r="A925" t="str">
            <v>E391</v>
          </cell>
          <cell r="B925">
            <v>53.339300000000001</v>
          </cell>
          <cell r="C925">
            <v>6.2965</v>
          </cell>
          <cell r="D925">
            <v>2021</v>
          </cell>
          <cell r="E925" t="str">
            <v>Republic of Ireland</v>
          </cell>
          <cell r="F925" t="str">
            <v>TR34/L98H</v>
          </cell>
          <cell r="G925">
            <v>0</v>
          </cell>
          <cell r="H925" t="str">
            <v>Environmental</v>
          </cell>
          <cell r="I925" t="str">
            <v>Wildtype</v>
          </cell>
          <cell r="K925">
            <v>3</v>
          </cell>
        </row>
        <row r="926">
          <cell r="A926" t="str">
            <v>E392</v>
          </cell>
          <cell r="B926">
            <v>53.339300000000001</v>
          </cell>
          <cell r="C926">
            <v>6.2965</v>
          </cell>
          <cell r="D926">
            <v>2021</v>
          </cell>
          <cell r="E926" t="str">
            <v>Republic of Ireland</v>
          </cell>
          <cell r="F926" t="str">
            <v>TR34/L98H</v>
          </cell>
          <cell r="G926">
            <v>0</v>
          </cell>
          <cell r="H926" t="str">
            <v>Environmental</v>
          </cell>
          <cell r="I926" t="str">
            <v>Wildtype</v>
          </cell>
          <cell r="K926">
            <v>3</v>
          </cell>
        </row>
        <row r="927">
          <cell r="A927" t="str">
            <v>E393</v>
          </cell>
          <cell r="B927">
            <v>53.339300000000001</v>
          </cell>
          <cell r="C927">
            <v>6.2965</v>
          </cell>
          <cell r="D927">
            <v>2021</v>
          </cell>
          <cell r="E927" t="str">
            <v>Republic of Ireland</v>
          </cell>
          <cell r="F927" t="str">
            <v>TR34/L98H</v>
          </cell>
          <cell r="G927">
            <v>0</v>
          </cell>
          <cell r="H927" t="str">
            <v>Environmental</v>
          </cell>
          <cell r="I927" t="str">
            <v>Wildtype</v>
          </cell>
          <cell r="K927">
            <v>3</v>
          </cell>
        </row>
        <row r="928">
          <cell r="A928" t="str">
            <v>E394</v>
          </cell>
          <cell r="B928">
            <v>53.339300000000001</v>
          </cell>
          <cell r="C928">
            <v>6.2965</v>
          </cell>
          <cell r="D928">
            <v>2021</v>
          </cell>
          <cell r="E928" t="str">
            <v>Republic of Ireland</v>
          </cell>
          <cell r="F928" t="str">
            <v>TR34/L98H</v>
          </cell>
          <cell r="G928">
            <v>0</v>
          </cell>
          <cell r="H928" t="str">
            <v>Environmental</v>
          </cell>
          <cell r="I928" t="str">
            <v>Wildtype</v>
          </cell>
          <cell r="K928">
            <v>3</v>
          </cell>
        </row>
        <row r="929">
          <cell r="A929" t="str">
            <v>E395</v>
          </cell>
          <cell r="B929">
            <v>53.339300000000001</v>
          </cell>
          <cell r="C929">
            <v>6.2965</v>
          </cell>
          <cell r="D929">
            <v>2021</v>
          </cell>
          <cell r="E929" t="str">
            <v>Republic of Ireland</v>
          </cell>
          <cell r="F929" t="str">
            <v>TR34/L98H</v>
          </cell>
          <cell r="G929">
            <v>0</v>
          </cell>
          <cell r="H929" t="str">
            <v>Environmental</v>
          </cell>
          <cell r="I929" t="str">
            <v>Wildtype</v>
          </cell>
          <cell r="K929">
            <v>3</v>
          </cell>
        </row>
        <row r="930">
          <cell r="A930" t="str">
            <v>E396</v>
          </cell>
          <cell r="B930">
            <v>53.339300000000001</v>
          </cell>
          <cell r="C930">
            <v>6.2965</v>
          </cell>
          <cell r="D930">
            <v>2021</v>
          </cell>
          <cell r="E930" t="str">
            <v>Republic of Ireland</v>
          </cell>
          <cell r="F930" t="str">
            <v>TR34/L98H</v>
          </cell>
          <cell r="G930">
            <v>0</v>
          </cell>
          <cell r="H930" t="str">
            <v>Environmental</v>
          </cell>
          <cell r="I930" t="str">
            <v>Wildtype</v>
          </cell>
          <cell r="K930">
            <v>3</v>
          </cell>
        </row>
        <row r="931">
          <cell r="A931" t="str">
            <v>E397</v>
          </cell>
          <cell r="B931">
            <v>53.339300000000001</v>
          </cell>
          <cell r="C931">
            <v>6.2965</v>
          </cell>
          <cell r="D931">
            <v>2021</v>
          </cell>
          <cell r="E931" t="str">
            <v>Republic of Ireland</v>
          </cell>
          <cell r="F931" t="str">
            <v>TR34/L98H</v>
          </cell>
          <cell r="G931">
            <v>0</v>
          </cell>
          <cell r="H931" t="str">
            <v>Environmental</v>
          </cell>
          <cell r="I931" t="str">
            <v>Wildtype</v>
          </cell>
          <cell r="K931">
            <v>3</v>
          </cell>
        </row>
        <row r="932">
          <cell r="A932" t="str">
            <v>E398</v>
          </cell>
          <cell r="B932">
            <v>53.339300000000001</v>
          </cell>
          <cell r="C932">
            <v>6.2965</v>
          </cell>
          <cell r="D932">
            <v>2021</v>
          </cell>
          <cell r="E932" t="str">
            <v>Republic of Ireland</v>
          </cell>
          <cell r="F932" t="str">
            <v>TR34/L98H</v>
          </cell>
          <cell r="G932">
            <v>0</v>
          </cell>
          <cell r="H932" t="str">
            <v>Environmental</v>
          </cell>
          <cell r="I932" t="str">
            <v>Wildtype</v>
          </cell>
          <cell r="K932">
            <v>3</v>
          </cell>
        </row>
        <row r="933">
          <cell r="A933" t="str">
            <v>E399</v>
          </cell>
          <cell r="B933">
            <v>53.339300000000001</v>
          </cell>
          <cell r="C933">
            <v>6.2965</v>
          </cell>
          <cell r="D933">
            <v>2021</v>
          </cell>
          <cell r="E933" t="str">
            <v>Republic of Ireland</v>
          </cell>
          <cell r="F933" t="str">
            <v>Wildtype</v>
          </cell>
          <cell r="G933">
            <v>0</v>
          </cell>
          <cell r="H933" t="str">
            <v>Environmental</v>
          </cell>
          <cell r="I933" t="str">
            <v>Wildtype</v>
          </cell>
          <cell r="K933">
            <v>3</v>
          </cell>
        </row>
        <row r="934">
          <cell r="A934" t="str">
            <v>E4</v>
          </cell>
          <cell r="B934">
            <v>52.132632999999998</v>
          </cell>
          <cell r="C934">
            <v>5.2912660000000002</v>
          </cell>
          <cell r="D934">
            <v>2008</v>
          </cell>
          <cell r="E934" t="str">
            <v>Netherlands</v>
          </cell>
          <cell r="F934" t="str">
            <v>TR34/L98H</v>
          </cell>
          <cell r="G934" t="str">
            <v>MAT1-2</v>
          </cell>
          <cell r="H934" t="str">
            <v>Environmental</v>
          </cell>
          <cell r="I934" t="str">
            <v>Wildtype</v>
          </cell>
          <cell r="J934" t="str">
            <v>&gt;16</v>
          </cell>
          <cell r="K934">
            <v>3</v>
          </cell>
        </row>
        <row r="935">
          <cell r="A935" t="str">
            <v>E40</v>
          </cell>
          <cell r="B935">
            <v>53.349805000000003</v>
          </cell>
          <cell r="C935">
            <v>-6.2603099999999996</v>
          </cell>
          <cell r="D935">
            <v>2014</v>
          </cell>
          <cell r="E935" t="str">
            <v>Republic of Ireland</v>
          </cell>
          <cell r="F935" t="str">
            <v>TR46/Y121F/T289A</v>
          </cell>
          <cell r="G935" t="str">
            <v>MAT1-2</v>
          </cell>
          <cell r="H935" t="str">
            <v>Environmental</v>
          </cell>
          <cell r="I935" t="str">
            <v>F219Y</v>
          </cell>
          <cell r="K935">
            <v>3</v>
          </cell>
        </row>
        <row r="936">
          <cell r="A936" t="str">
            <v>E400</v>
          </cell>
          <cell r="B936">
            <v>53.339300000000001</v>
          </cell>
          <cell r="C936">
            <v>6.2965</v>
          </cell>
          <cell r="D936">
            <v>2021</v>
          </cell>
          <cell r="E936" t="str">
            <v>Republic of Ireland</v>
          </cell>
          <cell r="F936" t="str">
            <v>TR34/L98H</v>
          </cell>
          <cell r="G936">
            <v>0</v>
          </cell>
          <cell r="H936" t="str">
            <v>Environmental</v>
          </cell>
          <cell r="I936" t="str">
            <v>Wildtype</v>
          </cell>
          <cell r="K936">
            <v>3</v>
          </cell>
        </row>
        <row r="937">
          <cell r="A937" t="str">
            <v>E401</v>
          </cell>
          <cell r="B937">
            <v>-38.108842699999997</v>
          </cell>
          <cell r="C937">
            <v>176.2214061</v>
          </cell>
          <cell r="D937">
            <v>2011</v>
          </cell>
          <cell r="E937" t="str">
            <v>New Zealand</v>
          </cell>
          <cell r="F937" t="str">
            <v>Wildtype</v>
          </cell>
          <cell r="G937" t="str">
            <v>MAT1-1</v>
          </cell>
          <cell r="H937" t="str">
            <v>Environmental</v>
          </cell>
          <cell r="I937" t="str">
            <v>Wildtype</v>
          </cell>
          <cell r="K937">
            <v>1</v>
          </cell>
        </row>
        <row r="938">
          <cell r="A938" t="str">
            <v>E402</v>
          </cell>
          <cell r="B938">
            <v>-46.7732247</v>
          </cell>
          <cell r="C938">
            <v>167.63526390000001</v>
          </cell>
          <cell r="D938">
            <v>2018</v>
          </cell>
          <cell r="E938" t="str">
            <v>New Zealand</v>
          </cell>
          <cell r="F938" t="str">
            <v>Wildtype</v>
          </cell>
          <cell r="G938" t="str">
            <v>MAT1-2</v>
          </cell>
          <cell r="H938" t="str">
            <v>Environmental</v>
          </cell>
          <cell r="I938" t="str">
            <v>Wildtype</v>
          </cell>
          <cell r="K938">
            <v>1</v>
          </cell>
        </row>
        <row r="939">
          <cell r="A939" t="str">
            <v>E403</v>
          </cell>
          <cell r="B939">
            <v>-46.7732247</v>
          </cell>
          <cell r="C939">
            <v>167.63526390000001</v>
          </cell>
          <cell r="D939">
            <v>2019</v>
          </cell>
          <cell r="E939" t="str">
            <v>New Zealand</v>
          </cell>
          <cell r="F939" t="str">
            <v>Wildtype</v>
          </cell>
          <cell r="G939" t="str">
            <v>MAT1-2</v>
          </cell>
          <cell r="H939" t="str">
            <v>Environmental</v>
          </cell>
          <cell r="I939" t="str">
            <v>Wildtype</v>
          </cell>
          <cell r="K939">
            <v>3</v>
          </cell>
        </row>
        <row r="940">
          <cell r="A940" t="str">
            <v>E404</v>
          </cell>
          <cell r="B940">
            <v>-46.7732247</v>
          </cell>
          <cell r="C940">
            <v>167.63526390000001</v>
          </cell>
          <cell r="D940">
            <v>2019</v>
          </cell>
          <cell r="E940" t="str">
            <v>New Zealand</v>
          </cell>
          <cell r="F940" t="str">
            <v>Wildtype</v>
          </cell>
          <cell r="G940" t="str">
            <v>MAT1-2</v>
          </cell>
          <cell r="H940" t="str">
            <v>Environmental</v>
          </cell>
          <cell r="I940" t="str">
            <v>Wildtype</v>
          </cell>
          <cell r="K940">
            <v>3</v>
          </cell>
        </row>
        <row r="941">
          <cell r="A941" t="str">
            <v>E405</v>
          </cell>
          <cell r="B941">
            <v>-46.7732247</v>
          </cell>
          <cell r="C941">
            <v>167.63526390000001</v>
          </cell>
          <cell r="D941">
            <v>2019</v>
          </cell>
          <cell r="E941" t="str">
            <v>New Zealand</v>
          </cell>
          <cell r="F941" t="str">
            <v>Wildtype</v>
          </cell>
          <cell r="G941" t="str">
            <v>MAT1-2</v>
          </cell>
          <cell r="H941" t="str">
            <v>Environmental</v>
          </cell>
          <cell r="I941" t="str">
            <v>Wildtype</v>
          </cell>
          <cell r="K941">
            <v>3</v>
          </cell>
        </row>
        <row r="942">
          <cell r="A942" t="str">
            <v>E406</v>
          </cell>
          <cell r="B942">
            <v>-46.7732247</v>
          </cell>
          <cell r="C942">
            <v>167.63526390000001</v>
          </cell>
          <cell r="D942">
            <v>2019</v>
          </cell>
          <cell r="E942" t="str">
            <v>New Zealand</v>
          </cell>
          <cell r="F942" t="str">
            <v>Wildtype</v>
          </cell>
          <cell r="G942" t="str">
            <v>MAT1-2</v>
          </cell>
          <cell r="H942" t="str">
            <v>Environmental</v>
          </cell>
          <cell r="I942" t="str">
            <v>Wildtype</v>
          </cell>
          <cell r="K942">
            <v>3</v>
          </cell>
        </row>
        <row r="943">
          <cell r="A943" t="str">
            <v>E407</v>
          </cell>
          <cell r="B943">
            <v>-46.7732247</v>
          </cell>
          <cell r="C943">
            <v>167.63526390000001</v>
          </cell>
          <cell r="D943">
            <v>2019</v>
          </cell>
          <cell r="E943" t="str">
            <v>New Zealand</v>
          </cell>
          <cell r="F943" t="str">
            <v>Wildtype</v>
          </cell>
          <cell r="G943" t="str">
            <v>MAT1-2</v>
          </cell>
          <cell r="H943" t="str">
            <v>Environmental</v>
          </cell>
          <cell r="I943" t="str">
            <v>Wildtype</v>
          </cell>
          <cell r="K943">
            <v>3</v>
          </cell>
        </row>
        <row r="944">
          <cell r="A944" t="str">
            <v>E408</v>
          </cell>
          <cell r="B944">
            <v>-46.7732247</v>
          </cell>
          <cell r="C944">
            <v>167.63526390000001</v>
          </cell>
          <cell r="D944">
            <v>2019</v>
          </cell>
          <cell r="E944" t="str">
            <v>New Zealand</v>
          </cell>
          <cell r="F944" t="str">
            <v>Wildtype</v>
          </cell>
          <cell r="G944" t="str">
            <v>MAT1-2</v>
          </cell>
          <cell r="H944" t="str">
            <v>Environmental</v>
          </cell>
          <cell r="I944" t="str">
            <v>Wildtype</v>
          </cell>
          <cell r="K944">
            <v>3</v>
          </cell>
        </row>
        <row r="945">
          <cell r="A945" t="str">
            <v>E409</v>
          </cell>
          <cell r="B945">
            <v>-46.7732247</v>
          </cell>
          <cell r="C945">
            <v>167.63526390000001</v>
          </cell>
          <cell r="D945">
            <v>2019</v>
          </cell>
          <cell r="E945" t="str">
            <v>New Zealand</v>
          </cell>
          <cell r="F945" t="str">
            <v>Wildtype</v>
          </cell>
          <cell r="G945" t="str">
            <v>MAT1-2</v>
          </cell>
          <cell r="H945" t="str">
            <v>Environmental</v>
          </cell>
          <cell r="I945" t="str">
            <v>Wildtype</v>
          </cell>
          <cell r="K945">
            <v>3</v>
          </cell>
        </row>
        <row r="946">
          <cell r="A946" t="str">
            <v>E41</v>
          </cell>
          <cell r="B946">
            <v>53.349805000000003</v>
          </cell>
          <cell r="C946">
            <v>-6.2603099999999996</v>
          </cell>
          <cell r="D946">
            <v>2014</v>
          </cell>
          <cell r="E946" t="str">
            <v>Republic of Ireland</v>
          </cell>
          <cell r="F946" t="str">
            <v>TR34/L98H</v>
          </cell>
          <cell r="G946" t="str">
            <v>MAT1-2</v>
          </cell>
          <cell r="H946" t="str">
            <v>Environmental</v>
          </cell>
          <cell r="I946" t="str">
            <v>F219Y</v>
          </cell>
          <cell r="K946">
            <v>3</v>
          </cell>
        </row>
        <row r="947">
          <cell r="A947" t="str">
            <v>E410</v>
          </cell>
          <cell r="B947">
            <v>-46.7732247</v>
          </cell>
          <cell r="C947">
            <v>167.63526390000001</v>
          </cell>
          <cell r="D947">
            <v>2012</v>
          </cell>
          <cell r="E947" t="str">
            <v>New Zealand</v>
          </cell>
          <cell r="F947" t="str">
            <v>Wildtype</v>
          </cell>
          <cell r="G947" t="str">
            <v>MAT1-2</v>
          </cell>
          <cell r="H947" t="str">
            <v>Environmental</v>
          </cell>
          <cell r="I947" t="str">
            <v>Wildtype</v>
          </cell>
          <cell r="K947">
            <v>5</v>
          </cell>
        </row>
        <row r="948">
          <cell r="A948" t="str">
            <v>E411</v>
          </cell>
          <cell r="B948">
            <v>-46.7732247</v>
          </cell>
          <cell r="C948">
            <v>167.63526390000001</v>
          </cell>
          <cell r="D948">
            <v>2019</v>
          </cell>
          <cell r="E948" t="str">
            <v>New Zealand</v>
          </cell>
          <cell r="F948" t="str">
            <v>Wildtype</v>
          </cell>
          <cell r="G948" t="str">
            <v>MAT1-2</v>
          </cell>
          <cell r="H948" t="str">
            <v>Environmental</v>
          </cell>
          <cell r="I948" t="str">
            <v>Wildtype</v>
          </cell>
          <cell r="K948">
            <v>3</v>
          </cell>
        </row>
        <row r="949">
          <cell r="A949" t="str">
            <v>E412</v>
          </cell>
          <cell r="B949">
            <v>-41.500083099999998</v>
          </cell>
          <cell r="C949">
            <v>172.83440770000001</v>
          </cell>
          <cell r="D949">
            <v>1961</v>
          </cell>
          <cell r="E949" t="str">
            <v>New Zealand</v>
          </cell>
          <cell r="F949" t="str">
            <v>Wildtype</v>
          </cell>
          <cell r="G949" t="str">
            <v>MAT1-2</v>
          </cell>
          <cell r="H949" t="str">
            <v>Environmental</v>
          </cell>
          <cell r="I949" t="str">
            <v>Wildtype</v>
          </cell>
          <cell r="K949">
            <v>1</v>
          </cell>
        </row>
        <row r="950">
          <cell r="A950" t="str">
            <v>E413</v>
          </cell>
          <cell r="B950">
            <v>-46.7732247</v>
          </cell>
          <cell r="C950">
            <v>167.63526390000001</v>
          </cell>
          <cell r="D950">
            <v>2019</v>
          </cell>
          <cell r="E950" t="str">
            <v>New Zealand</v>
          </cell>
          <cell r="F950" t="str">
            <v>Wildtype</v>
          </cell>
          <cell r="G950" t="str">
            <v>MAT1-2</v>
          </cell>
          <cell r="H950" t="str">
            <v>Environmental</v>
          </cell>
          <cell r="I950" t="str">
            <v>Wildtype</v>
          </cell>
          <cell r="K950">
            <v>3</v>
          </cell>
        </row>
        <row r="951">
          <cell r="A951" t="str">
            <v>E414</v>
          </cell>
          <cell r="B951">
            <v>-45.7571029</v>
          </cell>
          <cell r="C951">
            <v>166.51420590000001</v>
          </cell>
          <cell r="D951">
            <v>2019</v>
          </cell>
          <cell r="E951" t="str">
            <v>New Zealand</v>
          </cell>
          <cell r="F951" t="str">
            <v>Wildtype</v>
          </cell>
          <cell r="G951" t="str">
            <v>MAT1-2</v>
          </cell>
          <cell r="H951" t="str">
            <v>Environmental</v>
          </cell>
          <cell r="I951" t="str">
            <v>Wildtype</v>
          </cell>
          <cell r="K951">
            <v>3</v>
          </cell>
        </row>
        <row r="952">
          <cell r="A952" t="str">
            <v>E415</v>
          </cell>
          <cell r="B952">
            <v>-45.7571029</v>
          </cell>
          <cell r="C952">
            <v>166.51420590000001</v>
          </cell>
          <cell r="D952">
            <v>2019</v>
          </cell>
          <cell r="E952" t="str">
            <v>New Zealand</v>
          </cell>
          <cell r="F952" t="str">
            <v>Wildtype</v>
          </cell>
          <cell r="G952" t="str">
            <v>MAT1-2</v>
          </cell>
          <cell r="H952" t="str">
            <v>Environmental</v>
          </cell>
          <cell r="I952" t="str">
            <v>Wildtype</v>
          </cell>
          <cell r="K952">
            <v>3</v>
          </cell>
        </row>
        <row r="953">
          <cell r="A953" t="str">
            <v>E416</v>
          </cell>
          <cell r="B953">
            <v>-45.7571029</v>
          </cell>
          <cell r="C953">
            <v>166.51420590000001</v>
          </cell>
          <cell r="D953">
            <v>2019</v>
          </cell>
          <cell r="E953" t="str">
            <v>New Zealand</v>
          </cell>
          <cell r="F953" t="str">
            <v>Wildtype</v>
          </cell>
          <cell r="G953" t="str">
            <v>MAT1-2</v>
          </cell>
          <cell r="H953" t="str">
            <v>Environmental</v>
          </cell>
          <cell r="I953" t="str">
            <v>Wildtype</v>
          </cell>
          <cell r="K953">
            <v>3</v>
          </cell>
        </row>
        <row r="954">
          <cell r="A954" t="str">
            <v>E417</v>
          </cell>
          <cell r="B954">
            <v>-46.7732247</v>
          </cell>
          <cell r="C954">
            <v>167.63526390000001</v>
          </cell>
          <cell r="D954">
            <v>2019</v>
          </cell>
          <cell r="E954" t="str">
            <v>New Zealand</v>
          </cell>
          <cell r="F954" t="str">
            <v>Wildtype</v>
          </cell>
          <cell r="G954" t="str">
            <v>MAT1-2</v>
          </cell>
          <cell r="H954" t="str">
            <v>Environmental</v>
          </cell>
          <cell r="I954" t="str">
            <v>Wildtype</v>
          </cell>
          <cell r="K954">
            <v>3</v>
          </cell>
        </row>
        <row r="955">
          <cell r="A955" t="str">
            <v>E418</v>
          </cell>
          <cell r="B955">
            <v>-46.7732247</v>
          </cell>
          <cell r="C955">
            <v>167.63526390000001</v>
          </cell>
          <cell r="D955">
            <v>2019</v>
          </cell>
          <cell r="E955" t="str">
            <v>New Zealand</v>
          </cell>
          <cell r="F955" t="str">
            <v>Wildtype</v>
          </cell>
          <cell r="G955" t="str">
            <v>MAT1-2</v>
          </cell>
          <cell r="H955" t="str">
            <v>Environmental</v>
          </cell>
          <cell r="I955" t="str">
            <v>Wildtype</v>
          </cell>
          <cell r="K955">
            <v>3</v>
          </cell>
        </row>
        <row r="956">
          <cell r="A956" t="str">
            <v>E419</v>
          </cell>
          <cell r="B956">
            <v>-40.750926900000003</v>
          </cell>
          <cell r="C956">
            <v>175.60433950000001</v>
          </cell>
          <cell r="D956">
            <v>2019</v>
          </cell>
          <cell r="E956" t="str">
            <v>New Zealand</v>
          </cell>
          <cell r="F956" t="str">
            <v>Wildtype</v>
          </cell>
          <cell r="G956" t="str">
            <v>MAT1-2</v>
          </cell>
          <cell r="H956" t="str">
            <v>Environmental</v>
          </cell>
          <cell r="I956" t="str">
            <v>Wildtype</v>
          </cell>
          <cell r="K956">
            <v>3</v>
          </cell>
        </row>
        <row r="957">
          <cell r="A957" t="str">
            <v>E42</v>
          </cell>
          <cell r="B957">
            <v>53.349805000000003</v>
          </cell>
          <cell r="C957">
            <v>-6.2603099999999996</v>
          </cell>
          <cell r="D957">
            <v>2016</v>
          </cell>
          <cell r="E957" t="str">
            <v>Republic of Ireland</v>
          </cell>
          <cell r="F957" t="str">
            <v>TR34/L98H</v>
          </cell>
          <cell r="G957" t="str">
            <v>MAT1-2</v>
          </cell>
          <cell r="H957" t="str">
            <v>Environmental</v>
          </cell>
          <cell r="I957" t="str">
            <v>F219Y</v>
          </cell>
          <cell r="K957">
            <v>3</v>
          </cell>
        </row>
        <row r="958">
          <cell r="A958" t="str">
            <v>E420</v>
          </cell>
          <cell r="B958">
            <v>-41.292095000000003</v>
          </cell>
          <cell r="C958">
            <v>175.60433950000001</v>
          </cell>
          <cell r="D958">
            <v>2011</v>
          </cell>
          <cell r="E958" t="str">
            <v>New Zealand</v>
          </cell>
          <cell r="F958" t="str">
            <v>Wildtype</v>
          </cell>
          <cell r="G958" t="str">
            <v>MAT1-2</v>
          </cell>
          <cell r="H958" t="str">
            <v>Environmental</v>
          </cell>
          <cell r="I958" t="str">
            <v>Wildtype</v>
          </cell>
          <cell r="K958">
            <v>5</v>
          </cell>
        </row>
        <row r="959">
          <cell r="A959" t="str">
            <v>E421</v>
          </cell>
          <cell r="B959">
            <v>-38.108842699999997</v>
          </cell>
          <cell r="C959">
            <v>176.2214061</v>
          </cell>
          <cell r="D959">
            <v>2011</v>
          </cell>
          <cell r="E959" t="str">
            <v>New Zealand</v>
          </cell>
          <cell r="F959" t="str">
            <v>Wildtype</v>
          </cell>
          <cell r="G959" t="str">
            <v>MAT1-2</v>
          </cell>
          <cell r="H959" t="str">
            <v>Environmental</v>
          </cell>
          <cell r="I959" t="str">
            <v>Wildtype</v>
          </cell>
          <cell r="K959">
            <v>5</v>
          </cell>
        </row>
        <row r="960">
          <cell r="A960" t="str">
            <v>E423</v>
          </cell>
          <cell r="B960">
            <v>-36.853157000000003</v>
          </cell>
          <cell r="C960">
            <v>174.7634583</v>
          </cell>
          <cell r="D960">
            <v>1962</v>
          </cell>
          <cell r="E960" t="str">
            <v>New Zealand</v>
          </cell>
          <cell r="F960" t="str">
            <v>Wildtype</v>
          </cell>
          <cell r="G960" t="str">
            <v>MAT1-2</v>
          </cell>
          <cell r="H960" t="str">
            <v>Environmental</v>
          </cell>
          <cell r="I960" t="str">
            <v>Wildtype</v>
          </cell>
          <cell r="K960">
            <v>3</v>
          </cell>
        </row>
        <row r="961">
          <cell r="A961" t="str">
            <v>E424</v>
          </cell>
          <cell r="B961">
            <v>-46.7732247</v>
          </cell>
          <cell r="C961">
            <v>167.63526390000001</v>
          </cell>
          <cell r="D961">
            <v>2019</v>
          </cell>
          <cell r="E961" t="str">
            <v>New Zealand</v>
          </cell>
          <cell r="F961" t="str">
            <v>Wildtype</v>
          </cell>
          <cell r="G961" t="str">
            <v>MAT1-2</v>
          </cell>
          <cell r="H961" t="str">
            <v>Environmental</v>
          </cell>
          <cell r="I961" t="str">
            <v>Wildtype</v>
          </cell>
          <cell r="K961">
            <v>3</v>
          </cell>
        </row>
        <row r="962">
          <cell r="A962" t="str">
            <v>E425</v>
          </cell>
          <cell r="B962">
            <v>32.165599999999998</v>
          </cell>
          <cell r="C962">
            <v>-82.900099999999995</v>
          </cell>
          <cell r="D962">
            <v>2015</v>
          </cell>
          <cell r="E962" t="str">
            <v>USA</v>
          </cell>
          <cell r="F962" t="str">
            <v>TR34/L98H</v>
          </cell>
          <cell r="G962">
            <v>0</v>
          </cell>
          <cell r="H962" t="str">
            <v>Environmental</v>
          </cell>
          <cell r="I962" t="str">
            <v>F219Y</v>
          </cell>
          <cell r="K962">
            <v>4</v>
          </cell>
        </row>
        <row r="963">
          <cell r="A963" t="str">
            <v>E426</v>
          </cell>
          <cell r="B963">
            <v>32.165599999999998</v>
          </cell>
          <cell r="C963">
            <v>-82.900099999999995</v>
          </cell>
          <cell r="D963">
            <v>2015</v>
          </cell>
          <cell r="E963" t="str">
            <v>USA</v>
          </cell>
          <cell r="F963" t="str">
            <v>TR34/L98H</v>
          </cell>
          <cell r="G963">
            <v>0</v>
          </cell>
          <cell r="H963" t="str">
            <v>Environmental</v>
          </cell>
          <cell r="I963" t="str">
            <v>F219Y</v>
          </cell>
          <cell r="K963">
            <v>4</v>
          </cell>
        </row>
        <row r="964">
          <cell r="A964" t="str">
            <v>E427</v>
          </cell>
          <cell r="B964">
            <v>32.165599999999998</v>
          </cell>
          <cell r="C964">
            <v>-82.900099999999995</v>
          </cell>
          <cell r="D964">
            <v>2015</v>
          </cell>
          <cell r="E964" t="str">
            <v>USA</v>
          </cell>
          <cell r="F964" t="str">
            <v>Wildtype</v>
          </cell>
          <cell r="G964">
            <v>0</v>
          </cell>
          <cell r="H964" t="str">
            <v>Environmental</v>
          </cell>
          <cell r="I964" t="str">
            <v>Wildtype</v>
          </cell>
          <cell r="K964">
            <v>1</v>
          </cell>
        </row>
        <row r="965">
          <cell r="A965" t="str">
            <v>E428</v>
          </cell>
          <cell r="B965">
            <v>32.165599999999998</v>
          </cell>
          <cell r="C965">
            <v>-82.900099999999995</v>
          </cell>
          <cell r="D965">
            <v>2015</v>
          </cell>
          <cell r="E965" t="str">
            <v>USA</v>
          </cell>
          <cell r="F965" t="str">
            <v>Wildtype</v>
          </cell>
          <cell r="G965">
            <v>0</v>
          </cell>
          <cell r="H965" t="str">
            <v>Environmental</v>
          </cell>
          <cell r="I965" t="str">
            <v>Wildtype</v>
          </cell>
          <cell r="K965">
            <v>3</v>
          </cell>
        </row>
        <row r="966">
          <cell r="A966" t="str">
            <v>E429</v>
          </cell>
          <cell r="B966">
            <v>32.165599999999998</v>
          </cell>
          <cell r="C966">
            <v>-82.900099999999995</v>
          </cell>
          <cell r="D966">
            <v>2015</v>
          </cell>
          <cell r="E966" t="str">
            <v>USA</v>
          </cell>
          <cell r="F966" t="str">
            <v>Wildtype</v>
          </cell>
          <cell r="G966">
            <v>0</v>
          </cell>
          <cell r="H966" t="str">
            <v>Environmental</v>
          </cell>
          <cell r="I966" t="str">
            <v>Wildtype</v>
          </cell>
          <cell r="K966">
            <v>4</v>
          </cell>
        </row>
        <row r="967">
          <cell r="A967" t="str">
            <v>E43</v>
          </cell>
          <cell r="B967">
            <v>53.349805000000003</v>
          </cell>
          <cell r="C967">
            <v>-6.2603099999999996</v>
          </cell>
          <cell r="D967">
            <v>2016</v>
          </cell>
          <cell r="E967" t="str">
            <v>Republic of Ireland</v>
          </cell>
          <cell r="F967" t="str">
            <v>TR34/L98H</v>
          </cell>
          <cell r="G967" t="str">
            <v>MAT1-1</v>
          </cell>
          <cell r="H967" t="str">
            <v>Environmental</v>
          </cell>
          <cell r="I967" t="str">
            <v>Wildtype</v>
          </cell>
          <cell r="K967">
            <v>1</v>
          </cell>
        </row>
        <row r="968">
          <cell r="A968" t="str">
            <v>E430</v>
          </cell>
          <cell r="B968">
            <v>32.165599999999998</v>
          </cell>
          <cell r="C968">
            <v>-82.900099999999995</v>
          </cell>
          <cell r="D968">
            <v>2015</v>
          </cell>
          <cell r="E968" t="str">
            <v>USA</v>
          </cell>
          <cell r="F968" t="str">
            <v>Wildtype</v>
          </cell>
          <cell r="G968">
            <v>0</v>
          </cell>
          <cell r="H968" t="str">
            <v>Environmental</v>
          </cell>
          <cell r="I968" t="str">
            <v>Wildtype</v>
          </cell>
          <cell r="K968">
            <v>4</v>
          </cell>
        </row>
        <row r="969">
          <cell r="A969" t="str">
            <v>E431</v>
          </cell>
          <cell r="B969">
            <v>32.165599999999998</v>
          </cell>
          <cell r="C969">
            <v>-82.900099999999995</v>
          </cell>
          <cell r="D969">
            <v>2015</v>
          </cell>
          <cell r="E969" t="str">
            <v>USA</v>
          </cell>
          <cell r="F969" t="str">
            <v>Wildtype</v>
          </cell>
          <cell r="G969">
            <v>0</v>
          </cell>
          <cell r="H969" t="str">
            <v>Environmental</v>
          </cell>
          <cell r="I969" t="str">
            <v>Wildtype</v>
          </cell>
          <cell r="K969">
            <v>4</v>
          </cell>
        </row>
        <row r="970">
          <cell r="A970" t="str">
            <v>E432</v>
          </cell>
          <cell r="B970">
            <v>32.165599999999998</v>
          </cell>
          <cell r="C970">
            <v>-82.900099999999995</v>
          </cell>
          <cell r="D970">
            <v>2015</v>
          </cell>
          <cell r="E970" t="str">
            <v>USA</v>
          </cell>
          <cell r="F970" t="str">
            <v>TR34/L98H</v>
          </cell>
          <cell r="G970">
            <v>0</v>
          </cell>
          <cell r="H970" t="str">
            <v>Environmental</v>
          </cell>
          <cell r="I970" t="str">
            <v>F219Y</v>
          </cell>
          <cell r="K970">
            <v>4</v>
          </cell>
        </row>
        <row r="971">
          <cell r="A971" t="str">
            <v>E433</v>
          </cell>
          <cell r="B971">
            <v>32.165599999999998</v>
          </cell>
          <cell r="C971">
            <v>-82.900099999999995</v>
          </cell>
          <cell r="D971">
            <v>2015</v>
          </cell>
          <cell r="E971" t="str">
            <v>USA</v>
          </cell>
          <cell r="F971" t="str">
            <v>Wildtype</v>
          </cell>
          <cell r="G971">
            <v>0</v>
          </cell>
          <cell r="H971" t="str">
            <v>Environmental</v>
          </cell>
          <cell r="I971" t="str">
            <v>Wildtype</v>
          </cell>
          <cell r="K971">
            <v>3</v>
          </cell>
        </row>
        <row r="972">
          <cell r="A972" t="str">
            <v>E434</v>
          </cell>
          <cell r="B972">
            <v>32.165599999999998</v>
          </cell>
          <cell r="C972">
            <v>-82.900099999999995</v>
          </cell>
          <cell r="D972">
            <v>2015</v>
          </cell>
          <cell r="E972" t="str">
            <v>USA</v>
          </cell>
          <cell r="F972" t="str">
            <v>TR34/L98H</v>
          </cell>
          <cell r="G972">
            <v>0</v>
          </cell>
          <cell r="H972" t="str">
            <v>Environmental</v>
          </cell>
          <cell r="I972" t="str">
            <v>F219Y</v>
          </cell>
          <cell r="K972">
            <v>4</v>
          </cell>
        </row>
        <row r="973">
          <cell r="A973" t="str">
            <v>E435</v>
          </cell>
          <cell r="B973">
            <v>32.165599999999998</v>
          </cell>
          <cell r="C973">
            <v>-82.900099999999995</v>
          </cell>
          <cell r="D973">
            <v>2015</v>
          </cell>
          <cell r="E973" t="str">
            <v>USA</v>
          </cell>
          <cell r="F973" t="str">
            <v>TR34/L98H</v>
          </cell>
          <cell r="G973">
            <v>0</v>
          </cell>
          <cell r="H973" t="str">
            <v>Environmental</v>
          </cell>
          <cell r="I973" t="str">
            <v>F219Y</v>
          </cell>
          <cell r="K973">
            <v>4</v>
          </cell>
        </row>
        <row r="974">
          <cell r="A974" t="str">
            <v>E436</v>
          </cell>
          <cell r="B974">
            <v>32.165599999999998</v>
          </cell>
          <cell r="C974">
            <v>-82.900099999999995</v>
          </cell>
          <cell r="D974">
            <v>2015</v>
          </cell>
          <cell r="E974" t="str">
            <v>USA</v>
          </cell>
          <cell r="F974" t="str">
            <v>Wildtype</v>
          </cell>
          <cell r="G974">
            <v>0</v>
          </cell>
          <cell r="H974" t="str">
            <v>Environmental</v>
          </cell>
          <cell r="I974" t="str">
            <v>Wildtype</v>
          </cell>
          <cell r="K974">
            <v>3</v>
          </cell>
        </row>
        <row r="975">
          <cell r="A975" t="str">
            <v>E437</v>
          </cell>
          <cell r="B975">
            <v>32.165599999999998</v>
          </cell>
          <cell r="C975">
            <v>-82.900099999999995</v>
          </cell>
          <cell r="D975">
            <v>2015</v>
          </cell>
          <cell r="E975" t="str">
            <v>USA</v>
          </cell>
          <cell r="F975" t="str">
            <v>TR34/L98H</v>
          </cell>
          <cell r="G975">
            <v>0</v>
          </cell>
          <cell r="H975" t="str">
            <v>Environmental</v>
          </cell>
          <cell r="I975" t="str">
            <v>F219Y</v>
          </cell>
          <cell r="K975">
            <v>1</v>
          </cell>
        </row>
        <row r="976">
          <cell r="A976" t="str">
            <v>E438</v>
          </cell>
          <cell r="B976">
            <v>51.602339999999998</v>
          </cell>
          <cell r="C976">
            <v>-1.1106799999999999</v>
          </cell>
          <cell r="D976">
            <v>2019</v>
          </cell>
          <cell r="E976" t="str">
            <v>UK</v>
          </cell>
          <cell r="F976" t="str">
            <v>TR46/Y121F/T289A/S363P/I364V/G448S</v>
          </cell>
          <cell r="G976">
            <v>0</v>
          </cell>
          <cell r="H976" t="str">
            <v>Environmental</v>
          </cell>
          <cell r="I976" t="str">
            <v>F219Y</v>
          </cell>
          <cell r="K976">
            <v>3</v>
          </cell>
        </row>
        <row r="977">
          <cell r="A977" t="str">
            <v>E439</v>
          </cell>
          <cell r="B977">
            <v>51.602400000000003</v>
          </cell>
          <cell r="C977">
            <v>1.1107</v>
          </cell>
          <cell r="D977">
            <v>2019</v>
          </cell>
          <cell r="E977" t="str">
            <v>UK</v>
          </cell>
          <cell r="F977" t="str">
            <v>TR34/L98H</v>
          </cell>
          <cell r="G977">
            <v>0</v>
          </cell>
          <cell r="H977" t="str">
            <v>Environmental</v>
          </cell>
          <cell r="I977" t="str">
            <v>F219Y</v>
          </cell>
          <cell r="K977">
            <v>3</v>
          </cell>
        </row>
        <row r="978">
          <cell r="A978" t="str">
            <v>E44</v>
          </cell>
          <cell r="B978">
            <v>53.349805000000003</v>
          </cell>
          <cell r="C978">
            <v>-6.2603099999999996</v>
          </cell>
          <cell r="D978">
            <v>2015</v>
          </cell>
          <cell r="E978" t="str">
            <v>Republic of Ireland</v>
          </cell>
          <cell r="F978" t="str">
            <v>TR46/Y121F/T289A</v>
          </cell>
          <cell r="G978" t="str">
            <v>MAT1-1</v>
          </cell>
          <cell r="H978" t="str">
            <v>Environmental</v>
          </cell>
          <cell r="I978" t="str">
            <v>F219Y</v>
          </cell>
          <cell r="K978">
            <v>4</v>
          </cell>
        </row>
        <row r="979">
          <cell r="A979" t="str">
            <v>E440</v>
          </cell>
          <cell r="B979">
            <v>51.436129999999999</v>
          </cell>
          <cell r="C979">
            <v>-0.15618000000000001</v>
          </cell>
          <cell r="D979">
            <v>2019</v>
          </cell>
          <cell r="E979" t="str">
            <v>UK</v>
          </cell>
          <cell r="F979" t="str">
            <v>Wildtype</v>
          </cell>
          <cell r="G979">
            <v>0</v>
          </cell>
          <cell r="H979" t="str">
            <v>Environmental</v>
          </cell>
          <cell r="I979" t="str">
            <v>Wildtype</v>
          </cell>
          <cell r="K979">
            <v>3</v>
          </cell>
        </row>
        <row r="980">
          <cell r="A980" t="str">
            <v>E441</v>
          </cell>
          <cell r="B980">
            <v>51.436129999999999</v>
          </cell>
          <cell r="C980">
            <v>-0.15618000000000001</v>
          </cell>
          <cell r="D980">
            <v>2019</v>
          </cell>
          <cell r="E980" t="str">
            <v>UK</v>
          </cell>
          <cell r="F980" t="str">
            <v>TR34/L98H</v>
          </cell>
          <cell r="G980">
            <v>0</v>
          </cell>
          <cell r="H980" t="str">
            <v>Environmental</v>
          </cell>
          <cell r="I980" t="str">
            <v>Wildtype</v>
          </cell>
          <cell r="K980">
            <v>1</v>
          </cell>
        </row>
        <row r="981">
          <cell r="A981" t="str">
            <v>E442</v>
          </cell>
          <cell r="B981">
            <v>51.436100000000003</v>
          </cell>
          <cell r="C981">
            <v>0.15620000000000001</v>
          </cell>
          <cell r="D981">
            <v>2019</v>
          </cell>
          <cell r="E981" t="str">
            <v>UK</v>
          </cell>
          <cell r="F981" t="str">
            <v>TR34/L98H</v>
          </cell>
          <cell r="G981">
            <v>0</v>
          </cell>
          <cell r="H981" t="str">
            <v>Environmental</v>
          </cell>
          <cell r="I981" t="str">
            <v>F219Y</v>
          </cell>
          <cell r="K981">
            <v>3</v>
          </cell>
        </row>
        <row r="982">
          <cell r="A982" t="str">
            <v>E443</v>
          </cell>
          <cell r="B982">
            <v>51.436100000000003</v>
          </cell>
          <cell r="C982">
            <v>0.15620000000000001</v>
          </cell>
          <cell r="D982">
            <v>2019</v>
          </cell>
          <cell r="E982" t="str">
            <v>UK</v>
          </cell>
          <cell r="F982" t="str">
            <v>TR34/L98H</v>
          </cell>
          <cell r="G982">
            <v>0</v>
          </cell>
          <cell r="H982" t="str">
            <v>Environmental</v>
          </cell>
          <cell r="I982" t="str">
            <v>F219Y</v>
          </cell>
          <cell r="K982">
            <v>1</v>
          </cell>
        </row>
        <row r="983">
          <cell r="A983" t="str">
            <v>E444</v>
          </cell>
          <cell r="B983">
            <v>53.387920000000001</v>
          </cell>
          <cell r="C983">
            <v>-2.2931900000000001</v>
          </cell>
          <cell r="D983">
            <v>2019</v>
          </cell>
          <cell r="E983" t="str">
            <v>UK</v>
          </cell>
          <cell r="F983" t="str">
            <v>Wildtype</v>
          </cell>
          <cell r="G983">
            <v>0</v>
          </cell>
          <cell r="H983" t="str">
            <v>Environmental</v>
          </cell>
          <cell r="I983" t="str">
            <v>Wildtype</v>
          </cell>
          <cell r="K983">
            <v>3</v>
          </cell>
        </row>
        <row r="984">
          <cell r="A984" t="str">
            <v>E445</v>
          </cell>
          <cell r="B984">
            <v>53.387900000000002</v>
          </cell>
          <cell r="C984">
            <v>2.2932000000000001</v>
          </cell>
          <cell r="D984">
            <v>2019</v>
          </cell>
          <cell r="E984" t="str">
            <v>UK</v>
          </cell>
          <cell r="F984" t="str">
            <v>TR34/L98H</v>
          </cell>
          <cell r="G984">
            <v>0</v>
          </cell>
          <cell r="H984" t="str">
            <v>Environmental</v>
          </cell>
          <cell r="I984" t="str">
            <v>F219Y</v>
          </cell>
          <cell r="K984">
            <v>3</v>
          </cell>
        </row>
        <row r="985">
          <cell r="A985" t="str">
            <v>E446</v>
          </cell>
          <cell r="B985">
            <v>53.387900000000002</v>
          </cell>
          <cell r="C985">
            <v>2.2932000000000001</v>
          </cell>
          <cell r="D985">
            <v>2019</v>
          </cell>
          <cell r="E985" t="str">
            <v>UK</v>
          </cell>
          <cell r="F985" t="str">
            <v>TR34/L98H</v>
          </cell>
          <cell r="G985">
            <v>0</v>
          </cell>
          <cell r="H985" t="str">
            <v>Environmental</v>
          </cell>
          <cell r="I985" t="str">
            <v>F219Y</v>
          </cell>
          <cell r="K985">
            <v>3</v>
          </cell>
        </row>
        <row r="986">
          <cell r="A986" t="str">
            <v>E447</v>
          </cell>
          <cell r="B986">
            <v>53.387900000000002</v>
          </cell>
          <cell r="C986">
            <v>2.2932000000000001</v>
          </cell>
          <cell r="D986">
            <v>2019</v>
          </cell>
          <cell r="E986" t="str">
            <v>UK</v>
          </cell>
          <cell r="F986" t="str">
            <v>TR34/L98H</v>
          </cell>
          <cell r="G986">
            <v>0</v>
          </cell>
          <cell r="H986" t="str">
            <v>Environmental</v>
          </cell>
          <cell r="I986" t="str">
            <v>F219Y</v>
          </cell>
          <cell r="K986">
            <v>3</v>
          </cell>
        </row>
        <row r="987">
          <cell r="A987" t="str">
            <v>E448</v>
          </cell>
          <cell r="B987">
            <v>51.589300000000001</v>
          </cell>
          <cell r="C987">
            <v>1.4534</v>
          </cell>
          <cell r="D987">
            <v>2019</v>
          </cell>
          <cell r="E987" t="str">
            <v>UK</v>
          </cell>
          <cell r="F987" t="str">
            <v>TR34/L98H</v>
          </cell>
          <cell r="G987">
            <v>0</v>
          </cell>
          <cell r="H987" t="str">
            <v>Environmental</v>
          </cell>
          <cell r="I987" t="str">
            <v>Wildtype</v>
          </cell>
          <cell r="K987">
            <v>2</v>
          </cell>
        </row>
        <row r="988">
          <cell r="A988" t="str">
            <v>E449</v>
          </cell>
          <cell r="B988">
            <v>52.0931</v>
          </cell>
          <cell r="C988">
            <v>7.6600000000000001E-2</v>
          </cell>
          <cell r="D988">
            <v>2019</v>
          </cell>
          <cell r="E988" t="str">
            <v>UK</v>
          </cell>
          <cell r="F988" t="str">
            <v>TR34/L98H</v>
          </cell>
          <cell r="G988">
            <v>0</v>
          </cell>
          <cell r="H988" t="str">
            <v>Environmental</v>
          </cell>
          <cell r="I988" t="str">
            <v>F219Y</v>
          </cell>
          <cell r="K988">
            <v>3</v>
          </cell>
        </row>
        <row r="989">
          <cell r="A989" t="str">
            <v>E45</v>
          </cell>
          <cell r="B989">
            <v>53.349805000000003</v>
          </cell>
          <cell r="C989">
            <v>-6.2603099999999996</v>
          </cell>
          <cell r="D989">
            <v>2015</v>
          </cell>
          <cell r="E989" t="str">
            <v>Republic of Ireland</v>
          </cell>
          <cell r="F989" t="str">
            <v>TR34/L98H</v>
          </cell>
          <cell r="G989" t="str">
            <v>MAT1-2</v>
          </cell>
          <cell r="H989" t="str">
            <v>Environmental</v>
          </cell>
          <cell r="I989" t="str">
            <v>F219Y</v>
          </cell>
          <cell r="K989">
            <v>3</v>
          </cell>
        </row>
        <row r="990">
          <cell r="A990" t="str">
            <v>E450</v>
          </cell>
          <cell r="B990">
            <v>51.745699999999999</v>
          </cell>
          <cell r="C990">
            <v>1.1348</v>
          </cell>
          <cell r="D990">
            <v>2019</v>
          </cell>
          <cell r="E990" t="str">
            <v>UK</v>
          </cell>
          <cell r="F990" t="str">
            <v>TR34/L98H</v>
          </cell>
          <cell r="G990">
            <v>0</v>
          </cell>
          <cell r="H990" t="str">
            <v>Environmental</v>
          </cell>
          <cell r="I990" t="str">
            <v>Wildtype</v>
          </cell>
          <cell r="K990">
            <v>3</v>
          </cell>
        </row>
        <row r="991">
          <cell r="A991" t="str">
            <v>E451</v>
          </cell>
          <cell r="B991">
            <v>51.745699999999999</v>
          </cell>
          <cell r="C991">
            <v>1.1348</v>
          </cell>
          <cell r="D991">
            <v>2019</v>
          </cell>
          <cell r="E991" t="str">
            <v>UK</v>
          </cell>
          <cell r="F991" t="str">
            <v>TR34/L98H</v>
          </cell>
          <cell r="G991">
            <v>0</v>
          </cell>
          <cell r="H991" t="str">
            <v>Environmental</v>
          </cell>
          <cell r="I991" t="str">
            <v>Wildtype</v>
          </cell>
          <cell r="K991">
            <v>2</v>
          </cell>
        </row>
        <row r="992">
          <cell r="A992" t="str">
            <v>E453</v>
          </cell>
          <cell r="B992">
            <v>54.062100000000001</v>
          </cell>
          <cell r="C992">
            <v>2.8047</v>
          </cell>
          <cell r="D992">
            <v>2019</v>
          </cell>
          <cell r="E992" t="str">
            <v>UK</v>
          </cell>
          <cell r="F992" t="str">
            <v>Wildtype</v>
          </cell>
          <cell r="G992">
            <v>0</v>
          </cell>
          <cell r="H992" t="str">
            <v>Environmental</v>
          </cell>
          <cell r="I992" t="str">
            <v>Wildtype</v>
          </cell>
          <cell r="K992">
            <v>4</v>
          </cell>
        </row>
        <row r="993">
          <cell r="A993" t="str">
            <v>E454</v>
          </cell>
          <cell r="B993">
            <v>54.062100000000001</v>
          </cell>
          <cell r="C993">
            <v>2.8047</v>
          </cell>
          <cell r="D993">
            <v>2019</v>
          </cell>
          <cell r="E993" t="str">
            <v>UK</v>
          </cell>
          <cell r="F993" t="str">
            <v>Wildtype</v>
          </cell>
          <cell r="G993">
            <v>0</v>
          </cell>
          <cell r="H993" t="str">
            <v>Environmental</v>
          </cell>
          <cell r="I993" t="str">
            <v>Wildtype</v>
          </cell>
          <cell r="K993">
            <v>4</v>
          </cell>
        </row>
        <row r="994">
          <cell r="A994" t="str">
            <v>E455</v>
          </cell>
          <cell r="B994">
            <v>54.062080000000002</v>
          </cell>
          <cell r="C994">
            <v>-2.8046899999999999</v>
          </cell>
          <cell r="D994">
            <v>2019</v>
          </cell>
          <cell r="E994" t="str">
            <v>UK</v>
          </cell>
          <cell r="F994" t="str">
            <v>I242V</v>
          </cell>
          <cell r="G994">
            <v>0</v>
          </cell>
          <cell r="H994" t="str">
            <v>Environmental</v>
          </cell>
          <cell r="I994" t="str">
            <v>Wildtype</v>
          </cell>
          <cell r="K994">
            <v>4</v>
          </cell>
        </row>
        <row r="995">
          <cell r="A995" t="str">
            <v>E456</v>
          </cell>
          <cell r="B995">
            <v>54.062080000000002</v>
          </cell>
          <cell r="C995">
            <v>-2.8046899999999999</v>
          </cell>
          <cell r="D995">
            <v>2019</v>
          </cell>
          <cell r="E995" t="str">
            <v>UK</v>
          </cell>
          <cell r="F995" t="str">
            <v>I242V</v>
          </cell>
          <cell r="G995">
            <v>0</v>
          </cell>
          <cell r="H995" t="str">
            <v>Environmental</v>
          </cell>
          <cell r="I995" t="str">
            <v>Wildtype</v>
          </cell>
          <cell r="K995">
            <v>4</v>
          </cell>
        </row>
        <row r="996">
          <cell r="A996" t="str">
            <v>E457</v>
          </cell>
          <cell r="B996">
            <v>54.062080000000002</v>
          </cell>
          <cell r="C996">
            <v>-2.8046899999999999</v>
          </cell>
          <cell r="D996">
            <v>2019</v>
          </cell>
          <cell r="E996" t="str">
            <v>UK</v>
          </cell>
          <cell r="F996" t="str">
            <v>TR34/L98H</v>
          </cell>
          <cell r="G996">
            <v>0</v>
          </cell>
          <cell r="H996" t="str">
            <v>Environmental</v>
          </cell>
          <cell r="I996" t="str">
            <v>Wildtype</v>
          </cell>
          <cell r="K996">
            <v>4</v>
          </cell>
        </row>
        <row r="997">
          <cell r="A997" t="str">
            <v>E458</v>
          </cell>
          <cell r="B997">
            <v>54.062080000000002</v>
          </cell>
          <cell r="C997">
            <v>-2.8046899999999999</v>
          </cell>
          <cell r="D997">
            <v>2019</v>
          </cell>
          <cell r="E997" t="str">
            <v>UK</v>
          </cell>
          <cell r="F997" t="str">
            <v>I242V</v>
          </cell>
          <cell r="G997">
            <v>0</v>
          </cell>
          <cell r="H997" t="str">
            <v>Environmental</v>
          </cell>
          <cell r="I997" t="str">
            <v>Wildtype</v>
          </cell>
          <cell r="K997">
            <v>4</v>
          </cell>
        </row>
        <row r="998">
          <cell r="A998" t="str">
            <v>E459</v>
          </cell>
          <cell r="B998">
            <v>54.062080000000002</v>
          </cell>
          <cell r="C998">
            <v>-2.8046899999999999</v>
          </cell>
          <cell r="D998">
            <v>2019</v>
          </cell>
          <cell r="E998" t="str">
            <v>UK</v>
          </cell>
          <cell r="F998" t="str">
            <v>C270R</v>
          </cell>
          <cell r="G998">
            <v>0</v>
          </cell>
          <cell r="H998" t="str">
            <v>Environmental</v>
          </cell>
          <cell r="I998" t="str">
            <v>Wildtype</v>
          </cell>
          <cell r="K998">
            <v>5</v>
          </cell>
        </row>
        <row r="999">
          <cell r="A999" t="str">
            <v>E46</v>
          </cell>
          <cell r="B999">
            <v>53.349805000000003</v>
          </cell>
          <cell r="C999">
            <v>-6.2603099999999996</v>
          </cell>
          <cell r="D999">
            <v>2015</v>
          </cell>
          <cell r="E999" t="str">
            <v>Republic of Ireland</v>
          </cell>
          <cell r="F999" t="str">
            <v>TR46/Y121F/T289A</v>
          </cell>
          <cell r="G999" t="str">
            <v>MAT1-2</v>
          </cell>
          <cell r="H999" t="str">
            <v>Environmental</v>
          </cell>
          <cell r="I999" t="str">
            <v>F219Y</v>
          </cell>
          <cell r="K999">
            <v>3</v>
          </cell>
        </row>
        <row r="1000">
          <cell r="A1000" t="str">
            <v>E460</v>
          </cell>
          <cell r="B1000">
            <v>51.74774</v>
          </cell>
          <cell r="C1000">
            <v>-1.1405700000000001</v>
          </cell>
          <cell r="D1000">
            <v>2019</v>
          </cell>
          <cell r="E1000" t="str">
            <v>UK</v>
          </cell>
          <cell r="F1000" t="str">
            <v>TR46/Y121F/T289A</v>
          </cell>
          <cell r="G1000">
            <v>0</v>
          </cell>
          <cell r="H1000" t="str">
            <v>Environmental</v>
          </cell>
          <cell r="I1000" t="str">
            <v>Wildtype</v>
          </cell>
          <cell r="K1000">
            <v>3</v>
          </cell>
        </row>
        <row r="1001">
          <cell r="A1001" t="str">
            <v>E461</v>
          </cell>
          <cell r="B1001">
            <v>51.74774</v>
          </cell>
          <cell r="C1001">
            <v>-1.1405700000000001</v>
          </cell>
          <cell r="D1001">
            <v>2019</v>
          </cell>
          <cell r="E1001" t="str">
            <v>UK</v>
          </cell>
          <cell r="F1001" t="str">
            <v>TR34/L98H/T289A/I364V/G448S</v>
          </cell>
          <cell r="G1001">
            <v>0</v>
          </cell>
          <cell r="H1001" t="str">
            <v>Environmental</v>
          </cell>
          <cell r="I1001" t="str">
            <v>F219Y</v>
          </cell>
          <cell r="K1001">
            <v>3</v>
          </cell>
        </row>
        <row r="1002">
          <cell r="A1002" t="str">
            <v>E462</v>
          </cell>
          <cell r="B1002">
            <v>56.577979999999997</v>
          </cell>
          <cell r="C1002">
            <v>-3.3208099999999998</v>
          </cell>
          <cell r="D1002">
            <v>2019</v>
          </cell>
          <cell r="E1002" t="str">
            <v>UK</v>
          </cell>
          <cell r="F1002" t="str">
            <v>Wildtype</v>
          </cell>
          <cell r="G1002">
            <v>0</v>
          </cell>
          <cell r="H1002" t="str">
            <v>Environmental</v>
          </cell>
          <cell r="I1002" t="str">
            <v>F219Y</v>
          </cell>
          <cell r="K1002">
            <v>3</v>
          </cell>
        </row>
        <row r="1003">
          <cell r="A1003" t="str">
            <v>E463</v>
          </cell>
          <cell r="B1003">
            <v>50.884169999999997</v>
          </cell>
          <cell r="C1003">
            <v>0.55095000000000005</v>
          </cell>
          <cell r="D1003">
            <v>2019</v>
          </cell>
          <cell r="E1003" t="str">
            <v>UK</v>
          </cell>
          <cell r="F1003" t="str">
            <v>Y121F/T289A/S363P/I364V/G448S</v>
          </cell>
          <cell r="G1003">
            <v>0</v>
          </cell>
          <cell r="H1003" t="str">
            <v>Environmental</v>
          </cell>
          <cell r="I1003" t="str">
            <v>F219Y</v>
          </cell>
          <cell r="K1003">
            <v>3</v>
          </cell>
        </row>
        <row r="1004">
          <cell r="A1004" t="str">
            <v>E464</v>
          </cell>
          <cell r="B1004">
            <v>50.884169999999997</v>
          </cell>
          <cell r="C1004">
            <v>0.55095000000000005</v>
          </cell>
          <cell r="D1004">
            <v>2019</v>
          </cell>
          <cell r="E1004" t="str">
            <v>UK</v>
          </cell>
          <cell r="F1004" t="str">
            <v>TR46/Y121F/T289A/S363P/I364V/G448S</v>
          </cell>
          <cell r="G1004">
            <v>0</v>
          </cell>
          <cell r="H1004" t="str">
            <v>Environmental</v>
          </cell>
          <cell r="I1004" t="str">
            <v>F219Y</v>
          </cell>
          <cell r="K1004">
            <v>3</v>
          </cell>
        </row>
        <row r="1005">
          <cell r="A1005" t="str">
            <v>E465</v>
          </cell>
          <cell r="B1005">
            <v>50.884169999999997</v>
          </cell>
          <cell r="C1005">
            <v>0.55095000000000005</v>
          </cell>
          <cell r="D1005">
            <v>2019</v>
          </cell>
          <cell r="E1005" t="str">
            <v>UK</v>
          </cell>
          <cell r="F1005" t="str">
            <v>TR46/Y121F/T289A/S363P/I364V/G448S</v>
          </cell>
          <cell r="G1005">
            <v>0</v>
          </cell>
          <cell r="H1005" t="str">
            <v>Environmental</v>
          </cell>
          <cell r="I1005" t="str">
            <v>F219Y</v>
          </cell>
          <cell r="K1005">
            <v>3</v>
          </cell>
        </row>
        <row r="1006">
          <cell r="A1006" t="str">
            <v>E466</v>
          </cell>
          <cell r="B1006">
            <v>50.884169999999997</v>
          </cell>
          <cell r="C1006">
            <v>0.55095000000000005</v>
          </cell>
          <cell r="D1006">
            <v>2019</v>
          </cell>
          <cell r="E1006" t="str">
            <v>UK</v>
          </cell>
          <cell r="F1006" t="str">
            <v>TR46/Y121F/T289A/S363P/I364V/G448S</v>
          </cell>
          <cell r="G1006">
            <v>0</v>
          </cell>
          <cell r="H1006" t="str">
            <v>Environmental</v>
          </cell>
          <cell r="I1006" t="str">
            <v>F219Y</v>
          </cell>
          <cell r="K1006">
            <v>3</v>
          </cell>
        </row>
        <row r="1007">
          <cell r="A1007" t="str">
            <v>E467</v>
          </cell>
          <cell r="B1007">
            <v>51.434260000000002</v>
          </cell>
          <cell r="C1007">
            <v>-7.7109999999999998E-2</v>
          </cell>
          <cell r="D1007">
            <v>2019</v>
          </cell>
          <cell r="E1007" t="str">
            <v>UK</v>
          </cell>
          <cell r="F1007" t="str">
            <v>D430G</v>
          </cell>
          <cell r="G1007">
            <v>0</v>
          </cell>
          <cell r="H1007" t="str">
            <v>Environmental</v>
          </cell>
          <cell r="I1007" t="str">
            <v>Wildtype</v>
          </cell>
          <cell r="K1007">
            <v>4</v>
          </cell>
        </row>
        <row r="1008">
          <cell r="A1008" t="str">
            <v>E468</v>
          </cell>
          <cell r="B1008">
            <v>51.434260000000002</v>
          </cell>
          <cell r="C1008">
            <v>-7.7109999999999998E-2</v>
          </cell>
          <cell r="D1008">
            <v>2019</v>
          </cell>
          <cell r="E1008" t="str">
            <v>UK</v>
          </cell>
          <cell r="F1008" t="str">
            <v>D430G</v>
          </cell>
          <cell r="G1008" t="str">
            <v>MAT1-2</v>
          </cell>
          <cell r="H1008" t="str">
            <v>Environmental</v>
          </cell>
          <cell r="I1008" t="str">
            <v>Wildtype</v>
          </cell>
          <cell r="K1008">
            <v>4</v>
          </cell>
        </row>
        <row r="1009">
          <cell r="A1009" t="str">
            <v>E469</v>
          </cell>
          <cell r="B1009">
            <v>51.434260000000002</v>
          </cell>
          <cell r="C1009">
            <v>-7.7109999999999998E-2</v>
          </cell>
          <cell r="D1009">
            <v>2019</v>
          </cell>
          <cell r="E1009" t="str">
            <v>UK</v>
          </cell>
          <cell r="F1009" t="str">
            <v>D430G</v>
          </cell>
          <cell r="G1009" t="str">
            <v>MAT1-2</v>
          </cell>
          <cell r="H1009" t="str">
            <v>Environmental</v>
          </cell>
          <cell r="I1009" t="str">
            <v>Wildtype</v>
          </cell>
          <cell r="K1009">
            <v>4</v>
          </cell>
        </row>
        <row r="1010">
          <cell r="A1010" t="str">
            <v>E470</v>
          </cell>
          <cell r="B1010">
            <v>51.434260000000002</v>
          </cell>
          <cell r="C1010">
            <v>-7.7109999999999998E-2</v>
          </cell>
          <cell r="D1010">
            <v>2019</v>
          </cell>
          <cell r="E1010" t="str">
            <v>UK</v>
          </cell>
          <cell r="F1010" t="str">
            <v>D430G</v>
          </cell>
          <cell r="G1010" t="str">
            <v>MAT1-2</v>
          </cell>
          <cell r="H1010" t="str">
            <v>Environmental</v>
          </cell>
          <cell r="I1010" t="str">
            <v>Wildtype</v>
          </cell>
          <cell r="K1010">
            <v>4</v>
          </cell>
        </row>
        <row r="1011">
          <cell r="A1011" t="str">
            <v>E471</v>
          </cell>
          <cell r="B1011">
            <v>51.434260000000002</v>
          </cell>
          <cell r="C1011">
            <v>-7.7109999999999998E-2</v>
          </cell>
          <cell r="D1011">
            <v>2019</v>
          </cell>
          <cell r="E1011" t="str">
            <v>UK</v>
          </cell>
          <cell r="F1011" t="str">
            <v>TR46/Y121F/T289A/S363P/I364V/G448S</v>
          </cell>
          <cell r="G1011">
            <v>0</v>
          </cell>
          <cell r="H1011" t="str">
            <v>Environmental</v>
          </cell>
          <cell r="I1011" t="str">
            <v>F219Y</v>
          </cell>
          <cell r="K1011">
            <v>3</v>
          </cell>
        </row>
        <row r="1012">
          <cell r="A1012" t="str">
            <v>E472</v>
          </cell>
          <cell r="B1012">
            <v>51.434260000000002</v>
          </cell>
          <cell r="C1012">
            <v>-7.7109999999999998E-2</v>
          </cell>
          <cell r="D1012">
            <v>2019</v>
          </cell>
          <cell r="E1012" t="str">
            <v>UK</v>
          </cell>
          <cell r="F1012" t="str">
            <v>D430G</v>
          </cell>
          <cell r="G1012" t="str">
            <v>MAT1-2</v>
          </cell>
          <cell r="H1012" t="str">
            <v>Environmental</v>
          </cell>
          <cell r="I1012" t="str">
            <v>Wildtype</v>
          </cell>
          <cell r="K1012">
            <v>4</v>
          </cell>
        </row>
        <row r="1013">
          <cell r="A1013" t="str">
            <v>E473</v>
          </cell>
          <cell r="B1013">
            <v>51.434260000000002</v>
          </cell>
          <cell r="C1013">
            <v>-7.7109999999999998E-2</v>
          </cell>
          <cell r="D1013">
            <v>2019</v>
          </cell>
          <cell r="E1013" t="str">
            <v>UK</v>
          </cell>
          <cell r="F1013" t="str">
            <v>TR34/L98H</v>
          </cell>
          <cell r="G1013">
            <v>0</v>
          </cell>
          <cell r="H1013" t="str">
            <v>Environmental</v>
          </cell>
          <cell r="I1013" t="str">
            <v>Wildtype</v>
          </cell>
          <cell r="K1013">
            <v>3</v>
          </cell>
        </row>
        <row r="1014">
          <cell r="A1014" t="str">
            <v>E474</v>
          </cell>
          <cell r="B1014">
            <v>51.09487</v>
          </cell>
          <cell r="C1014">
            <v>-3.8267600000000002</v>
          </cell>
          <cell r="D1014">
            <v>2019</v>
          </cell>
          <cell r="E1014" t="str">
            <v>UK</v>
          </cell>
          <cell r="F1014" t="str">
            <v>TR34/L98H</v>
          </cell>
          <cell r="G1014">
            <v>0</v>
          </cell>
          <cell r="H1014" t="str">
            <v>Environmental</v>
          </cell>
          <cell r="I1014" t="str">
            <v>Wildtype</v>
          </cell>
          <cell r="K1014">
            <v>3</v>
          </cell>
        </row>
        <row r="1015">
          <cell r="A1015" t="str">
            <v>E475</v>
          </cell>
          <cell r="B1015">
            <v>51.754779999999997</v>
          </cell>
          <cell r="C1015">
            <v>-0.58475999999999995</v>
          </cell>
          <cell r="D1015">
            <v>2019</v>
          </cell>
          <cell r="E1015" t="str">
            <v>UK</v>
          </cell>
          <cell r="F1015" t="str">
            <v>TR34/L98H/T289A/I364V/G448S</v>
          </cell>
          <cell r="G1015">
            <v>0</v>
          </cell>
          <cell r="H1015" t="str">
            <v>Environmental</v>
          </cell>
          <cell r="I1015" t="str">
            <v>F219Y</v>
          </cell>
          <cell r="K1015">
            <v>3</v>
          </cell>
        </row>
        <row r="1016">
          <cell r="A1016" t="str">
            <v>E476</v>
          </cell>
          <cell r="B1016">
            <v>51.721040000000002</v>
          </cell>
          <cell r="C1016">
            <v>-0.61016999999999999</v>
          </cell>
          <cell r="D1016">
            <v>2019</v>
          </cell>
          <cell r="E1016" t="str">
            <v>UK</v>
          </cell>
          <cell r="F1016" t="str">
            <v>TR34/L98H/T289A/I364V/G448S</v>
          </cell>
          <cell r="G1016">
            <v>0</v>
          </cell>
          <cell r="H1016" t="str">
            <v>Environmental</v>
          </cell>
          <cell r="I1016" t="str">
            <v>F219Y</v>
          </cell>
          <cell r="K1016">
            <v>3</v>
          </cell>
        </row>
        <row r="1017">
          <cell r="A1017" t="str">
            <v>E477</v>
          </cell>
          <cell r="B1017">
            <v>51.721040000000002</v>
          </cell>
          <cell r="C1017">
            <v>-0.61016999999999999</v>
          </cell>
          <cell r="D1017">
            <v>2019</v>
          </cell>
          <cell r="E1017" t="str">
            <v>UK</v>
          </cell>
          <cell r="F1017" t="str">
            <v>TR34/L98H/T289A/I364V/G448S</v>
          </cell>
          <cell r="G1017">
            <v>0</v>
          </cell>
          <cell r="H1017" t="str">
            <v>Environmental</v>
          </cell>
          <cell r="I1017" t="str">
            <v>F219Y</v>
          </cell>
          <cell r="K1017">
            <v>3</v>
          </cell>
        </row>
        <row r="1018">
          <cell r="A1018" t="str">
            <v>E478</v>
          </cell>
          <cell r="B1018">
            <v>51.721040000000002</v>
          </cell>
          <cell r="C1018">
            <v>-0.61016999999999999</v>
          </cell>
          <cell r="D1018">
            <v>2019</v>
          </cell>
          <cell r="E1018" t="str">
            <v>UK</v>
          </cell>
          <cell r="F1018" t="str">
            <v>TR46/Y121F/T289A</v>
          </cell>
          <cell r="G1018">
            <v>0</v>
          </cell>
          <cell r="H1018" t="str">
            <v>Environmental</v>
          </cell>
          <cell r="I1018" t="str">
            <v>F219Y</v>
          </cell>
          <cell r="K1018">
            <v>3</v>
          </cell>
        </row>
        <row r="1019">
          <cell r="A1019" t="str">
            <v>E479</v>
          </cell>
          <cell r="B1019">
            <v>51.721040000000002</v>
          </cell>
          <cell r="C1019">
            <v>-0.61016999999999999</v>
          </cell>
          <cell r="D1019">
            <v>2019</v>
          </cell>
          <cell r="E1019" t="str">
            <v>UK</v>
          </cell>
          <cell r="F1019" t="str">
            <v>TR46/Y121F/T289A</v>
          </cell>
          <cell r="G1019">
            <v>0</v>
          </cell>
          <cell r="H1019" t="str">
            <v>Environmental</v>
          </cell>
          <cell r="I1019" t="str">
            <v>F219Y</v>
          </cell>
          <cell r="K1019">
            <v>3</v>
          </cell>
        </row>
        <row r="1020">
          <cell r="A1020" t="str">
            <v>E48</v>
          </cell>
          <cell r="B1020">
            <v>53.349805000000003</v>
          </cell>
          <cell r="C1020">
            <v>-6.2603099999999996</v>
          </cell>
          <cell r="D1020">
            <v>2015</v>
          </cell>
          <cell r="E1020" t="str">
            <v>Republic of Ireland</v>
          </cell>
          <cell r="F1020" t="str">
            <v>TR46/Y121F/T289A</v>
          </cell>
          <cell r="G1020" t="str">
            <v>MAT1-1</v>
          </cell>
          <cell r="H1020" t="str">
            <v>Environmental</v>
          </cell>
          <cell r="I1020" t="str">
            <v>F219Y</v>
          </cell>
          <cell r="K1020">
            <v>4</v>
          </cell>
        </row>
        <row r="1021">
          <cell r="A1021" t="str">
            <v>E480</v>
          </cell>
          <cell r="B1021">
            <v>51.721040000000002</v>
          </cell>
          <cell r="C1021">
            <v>-0.61016999999999999</v>
          </cell>
          <cell r="D1021">
            <v>2019</v>
          </cell>
          <cell r="E1021" t="str">
            <v>UK</v>
          </cell>
          <cell r="F1021" t="str">
            <v>TR34/L98H</v>
          </cell>
          <cell r="G1021">
            <v>0</v>
          </cell>
          <cell r="H1021" t="str">
            <v>Environmental</v>
          </cell>
          <cell r="I1021" t="str">
            <v>F219Y</v>
          </cell>
          <cell r="K1021">
            <v>3</v>
          </cell>
        </row>
        <row r="1022">
          <cell r="A1022" t="str">
            <v>E481</v>
          </cell>
          <cell r="B1022">
            <v>51.721040000000002</v>
          </cell>
          <cell r="C1022">
            <v>-0.61016999999999999</v>
          </cell>
          <cell r="D1022">
            <v>2019</v>
          </cell>
          <cell r="E1022" t="str">
            <v>UK</v>
          </cell>
          <cell r="F1022" t="str">
            <v>TR34/L98H</v>
          </cell>
          <cell r="G1022">
            <v>0</v>
          </cell>
          <cell r="H1022" t="str">
            <v>Environmental</v>
          </cell>
          <cell r="I1022" t="str">
            <v>F219Y</v>
          </cell>
          <cell r="K1022">
            <v>3</v>
          </cell>
        </row>
        <row r="1023">
          <cell r="A1023" t="str">
            <v>E482</v>
          </cell>
          <cell r="B1023">
            <v>51.721040000000002</v>
          </cell>
          <cell r="C1023">
            <v>-0.61016999999999999</v>
          </cell>
          <cell r="D1023">
            <v>2019</v>
          </cell>
          <cell r="E1023" t="str">
            <v>UK</v>
          </cell>
          <cell r="F1023" t="str">
            <v>Wildtype</v>
          </cell>
          <cell r="G1023">
            <v>0</v>
          </cell>
          <cell r="H1023" t="str">
            <v>Environmental</v>
          </cell>
          <cell r="I1023" t="str">
            <v>F219Y</v>
          </cell>
          <cell r="K1023">
            <v>3</v>
          </cell>
        </row>
        <row r="1024">
          <cell r="A1024" t="str">
            <v>E483</v>
          </cell>
          <cell r="B1024">
            <v>53.650640000000003</v>
          </cell>
          <cell r="C1024">
            <v>-0.67942999999999998</v>
          </cell>
          <cell r="D1024">
            <v>2019</v>
          </cell>
          <cell r="E1024" t="str">
            <v>UK</v>
          </cell>
          <cell r="F1024" t="str">
            <v>TR46/Y121F/T289A</v>
          </cell>
          <cell r="G1024">
            <v>0</v>
          </cell>
          <cell r="H1024" t="str">
            <v>Environmental</v>
          </cell>
          <cell r="I1024" t="str">
            <v>F219Y</v>
          </cell>
          <cell r="K1024">
            <v>3</v>
          </cell>
        </row>
        <row r="1025">
          <cell r="A1025" t="str">
            <v>E484</v>
          </cell>
          <cell r="B1025">
            <v>53.650640000000003</v>
          </cell>
          <cell r="C1025">
            <v>-0.67942999999999998</v>
          </cell>
          <cell r="D1025">
            <v>2019</v>
          </cell>
          <cell r="E1025" t="str">
            <v>UK</v>
          </cell>
          <cell r="F1025" t="str">
            <v>TR46/Y121F/T289A</v>
          </cell>
          <cell r="G1025">
            <v>0</v>
          </cell>
          <cell r="H1025" t="str">
            <v>Environmental</v>
          </cell>
          <cell r="I1025" t="str">
            <v>F219Y</v>
          </cell>
          <cell r="K1025">
            <v>1</v>
          </cell>
        </row>
        <row r="1026">
          <cell r="A1026" t="str">
            <v>E485</v>
          </cell>
          <cell r="B1026">
            <v>53.650640000000003</v>
          </cell>
          <cell r="C1026">
            <v>-0.67942999999999998</v>
          </cell>
          <cell r="D1026">
            <v>2019</v>
          </cell>
          <cell r="E1026" t="str">
            <v>UK</v>
          </cell>
          <cell r="F1026" t="str">
            <v>TR46/Y121F/T289A/G448S</v>
          </cell>
          <cell r="G1026">
            <v>0</v>
          </cell>
          <cell r="H1026" t="str">
            <v>Environmental</v>
          </cell>
          <cell r="I1026" t="str">
            <v>F219Y</v>
          </cell>
          <cell r="K1026">
            <v>3</v>
          </cell>
        </row>
        <row r="1027">
          <cell r="A1027" t="str">
            <v>E486</v>
          </cell>
          <cell r="B1027">
            <v>53.403579999999998</v>
          </cell>
          <cell r="C1027">
            <v>-2.1739299999999999</v>
          </cell>
          <cell r="D1027">
            <v>2019</v>
          </cell>
          <cell r="E1027" t="str">
            <v>UK</v>
          </cell>
          <cell r="F1027" t="str">
            <v>TR34/L98H</v>
          </cell>
          <cell r="G1027">
            <v>0</v>
          </cell>
          <cell r="H1027" t="str">
            <v>Environmental</v>
          </cell>
          <cell r="I1027" t="str">
            <v>Wildtype</v>
          </cell>
          <cell r="K1027">
            <v>3</v>
          </cell>
        </row>
        <row r="1028">
          <cell r="A1028" t="str">
            <v>E487</v>
          </cell>
          <cell r="B1028">
            <v>52.479179999999999</v>
          </cell>
          <cell r="C1028">
            <v>-2.0672600000000001</v>
          </cell>
          <cell r="D1028">
            <v>2019</v>
          </cell>
          <cell r="E1028" t="str">
            <v>UK</v>
          </cell>
          <cell r="F1028" t="str">
            <v>TR34/L98H</v>
          </cell>
          <cell r="G1028">
            <v>0</v>
          </cell>
          <cell r="H1028" t="str">
            <v>Environmental</v>
          </cell>
          <cell r="I1028" t="str">
            <v>Wildtype</v>
          </cell>
          <cell r="K1028">
            <v>3</v>
          </cell>
        </row>
        <row r="1029">
          <cell r="A1029" t="str">
            <v>E488</v>
          </cell>
          <cell r="B1029">
            <v>52.636200000000002</v>
          </cell>
          <cell r="C1029">
            <v>-2.4457900000000001</v>
          </cell>
          <cell r="D1029">
            <v>2019</v>
          </cell>
          <cell r="E1029" t="str">
            <v>UK</v>
          </cell>
          <cell r="F1029" t="str">
            <v>TR34/L98H</v>
          </cell>
          <cell r="G1029">
            <v>0</v>
          </cell>
          <cell r="H1029" t="str">
            <v>Environmental</v>
          </cell>
          <cell r="I1029" t="str">
            <v>F219Y</v>
          </cell>
          <cell r="K1029">
            <v>3</v>
          </cell>
        </row>
        <row r="1030">
          <cell r="A1030" t="str">
            <v>E489</v>
          </cell>
          <cell r="B1030">
            <v>52.636200000000002</v>
          </cell>
          <cell r="C1030">
            <v>-2.4457900000000001</v>
          </cell>
          <cell r="D1030">
            <v>2019</v>
          </cell>
          <cell r="E1030" t="str">
            <v>UK</v>
          </cell>
          <cell r="F1030" t="str">
            <v>TR46/Y121F/T289A</v>
          </cell>
          <cell r="G1030">
            <v>0</v>
          </cell>
          <cell r="H1030" t="str">
            <v>Environmental</v>
          </cell>
          <cell r="I1030" t="str">
            <v>F219Y</v>
          </cell>
          <cell r="K1030">
            <v>3</v>
          </cell>
        </row>
        <row r="1031">
          <cell r="A1031" t="str">
            <v>E49</v>
          </cell>
          <cell r="B1031">
            <v>53.349805000000003</v>
          </cell>
          <cell r="C1031">
            <v>-6.2603099999999996</v>
          </cell>
          <cell r="D1031">
            <v>2015</v>
          </cell>
          <cell r="E1031" t="str">
            <v>Republic of Ireland</v>
          </cell>
          <cell r="F1031" t="str">
            <v>TR34/L98H</v>
          </cell>
          <cell r="G1031" t="str">
            <v>MAT1-2</v>
          </cell>
          <cell r="H1031" t="str">
            <v>Environmental</v>
          </cell>
          <cell r="I1031" t="str">
            <v>F219Y</v>
          </cell>
          <cell r="K1031">
            <v>3</v>
          </cell>
        </row>
        <row r="1032">
          <cell r="A1032" t="str">
            <v>E490</v>
          </cell>
          <cell r="B1032">
            <v>50.99756</v>
          </cell>
          <cell r="C1032">
            <v>-4.0122400000000003</v>
          </cell>
          <cell r="D1032">
            <v>2019</v>
          </cell>
          <cell r="E1032" t="str">
            <v>UK</v>
          </cell>
          <cell r="F1032" t="str">
            <v>TR34/L98H</v>
          </cell>
          <cell r="G1032">
            <v>0</v>
          </cell>
          <cell r="H1032" t="str">
            <v>Environmental</v>
          </cell>
          <cell r="I1032" t="str">
            <v>Wildtype</v>
          </cell>
          <cell r="K1032">
            <v>3</v>
          </cell>
        </row>
        <row r="1033">
          <cell r="A1033" t="str">
            <v>E491</v>
          </cell>
          <cell r="B1033">
            <v>53.387920000000001</v>
          </cell>
          <cell r="C1033">
            <v>-2.2931900000000001</v>
          </cell>
          <cell r="D1033">
            <v>2019</v>
          </cell>
          <cell r="E1033" t="str">
            <v>UK</v>
          </cell>
          <cell r="F1033" t="str">
            <v>Wildtype</v>
          </cell>
          <cell r="G1033">
            <v>0</v>
          </cell>
          <cell r="H1033" t="str">
            <v>Environmental</v>
          </cell>
          <cell r="I1033" t="str">
            <v>Wildtype</v>
          </cell>
          <cell r="K1033">
            <v>3</v>
          </cell>
        </row>
        <row r="1034">
          <cell r="A1034" t="str">
            <v>E492</v>
          </cell>
          <cell r="B1034">
            <v>52.093069999999997</v>
          </cell>
          <cell r="C1034">
            <v>7.664E-2</v>
          </cell>
          <cell r="D1034">
            <v>2019</v>
          </cell>
          <cell r="E1034" t="str">
            <v>UK</v>
          </cell>
          <cell r="F1034" t="str">
            <v>Wildtype</v>
          </cell>
          <cell r="G1034">
            <v>0</v>
          </cell>
          <cell r="H1034" t="str">
            <v>Environmental</v>
          </cell>
          <cell r="I1034" t="str">
            <v>Wildtype</v>
          </cell>
          <cell r="K1034">
            <v>5</v>
          </cell>
        </row>
        <row r="1035">
          <cell r="A1035" t="str">
            <v>E493</v>
          </cell>
          <cell r="B1035">
            <v>54.062080000000002</v>
          </cell>
          <cell r="C1035">
            <v>-2.8046899999999999</v>
          </cell>
          <cell r="D1035">
            <v>2019</v>
          </cell>
          <cell r="E1035" t="str">
            <v>UK</v>
          </cell>
          <cell r="F1035" t="str">
            <v>Wildtype</v>
          </cell>
          <cell r="G1035">
            <v>0</v>
          </cell>
          <cell r="H1035" t="str">
            <v>Environmental</v>
          </cell>
          <cell r="I1035" t="str">
            <v>Wildtype</v>
          </cell>
          <cell r="K1035">
            <v>5</v>
          </cell>
        </row>
        <row r="1036">
          <cell r="A1036" t="str">
            <v>E494</v>
          </cell>
          <cell r="B1036">
            <v>54.062080000000002</v>
          </cell>
          <cell r="C1036">
            <v>-2.8046899999999999</v>
          </cell>
          <cell r="D1036">
            <v>2019</v>
          </cell>
          <cell r="E1036" t="str">
            <v>UK</v>
          </cell>
          <cell r="F1036" t="str">
            <v>Wildtype</v>
          </cell>
          <cell r="G1036">
            <v>0</v>
          </cell>
          <cell r="H1036" t="str">
            <v>Environmental</v>
          </cell>
          <cell r="I1036" t="str">
            <v>Wildtype</v>
          </cell>
          <cell r="K1036">
            <v>4</v>
          </cell>
        </row>
        <row r="1037">
          <cell r="A1037" t="str">
            <v>E495</v>
          </cell>
          <cell r="B1037">
            <v>54.062080000000002</v>
          </cell>
          <cell r="C1037">
            <v>-2.8046899999999999</v>
          </cell>
          <cell r="D1037">
            <v>2019</v>
          </cell>
          <cell r="E1037" t="str">
            <v>UK</v>
          </cell>
          <cell r="F1037" t="str">
            <v>I242V</v>
          </cell>
          <cell r="G1037">
            <v>0</v>
          </cell>
          <cell r="H1037" t="str">
            <v>Environmental</v>
          </cell>
          <cell r="I1037" t="str">
            <v>Wildtype</v>
          </cell>
          <cell r="K1037">
            <v>4</v>
          </cell>
        </row>
        <row r="1038">
          <cell r="A1038" t="str">
            <v>E497</v>
          </cell>
          <cell r="B1038">
            <v>54.062080000000002</v>
          </cell>
          <cell r="C1038">
            <v>-2.8046899999999999</v>
          </cell>
          <cell r="D1038">
            <v>2019</v>
          </cell>
          <cell r="E1038" t="str">
            <v>UK</v>
          </cell>
          <cell r="F1038" t="str">
            <v>I242V</v>
          </cell>
          <cell r="G1038">
            <v>0</v>
          </cell>
          <cell r="H1038" t="str">
            <v>Environmental</v>
          </cell>
          <cell r="I1038" t="str">
            <v>Wildtype</v>
          </cell>
          <cell r="K1038">
            <v>4</v>
          </cell>
        </row>
        <row r="1039">
          <cell r="A1039" t="str">
            <v>E498</v>
          </cell>
          <cell r="B1039">
            <v>54.062080000000002</v>
          </cell>
          <cell r="C1039">
            <v>-2.8046899999999999</v>
          </cell>
          <cell r="D1039">
            <v>2019</v>
          </cell>
          <cell r="E1039" t="str">
            <v>UK</v>
          </cell>
          <cell r="F1039" t="str">
            <v>Wildtype</v>
          </cell>
          <cell r="G1039">
            <v>0</v>
          </cell>
          <cell r="H1039" t="str">
            <v>Environmental</v>
          </cell>
          <cell r="I1039" t="str">
            <v>Wildtype</v>
          </cell>
          <cell r="K1039">
            <v>3</v>
          </cell>
        </row>
        <row r="1040">
          <cell r="A1040" t="str">
            <v>E499</v>
          </cell>
          <cell r="B1040">
            <v>54.062080000000002</v>
          </cell>
          <cell r="C1040">
            <v>-2.8046899999999999</v>
          </cell>
          <cell r="D1040">
            <v>2019</v>
          </cell>
          <cell r="E1040" t="str">
            <v>UK</v>
          </cell>
          <cell r="F1040" t="str">
            <v>Wildtype</v>
          </cell>
          <cell r="G1040">
            <v>0</v>
          </cell>
          <cell r="H1040" t="str">
            <v>Environmental</v>
          </cell>
          <cell r="I1040" t="str">
            <v>Wildtype</v>
          </cell>
          <cell r="K1040">
            <v>5</v>
          </cell>
        </row>
        <row r="1041">
          <cell r="A1041" t="str">
            <v>E5</v>
          </cell>
          <cell r="B1041">
            <v>28.690636999999999</v>
          </cell>
          <cell r="C1041">
            <v>77.209940000000003</v>
          </cell>
          <cell r="D1041">
            <v>2011</v>
          </cell>
          <cell r="E1041" t="str">
            <v>India</v>
          </cell>
          <cell r="F1041" t="str">
            <v>TR34/L98H</v>
          </cell>
          <cell r="G1041" t="str">
            <v>MAT1-1</v>
          </cell>
          <cell r="H1041" t="str">
            <v>Environmental</v>
          </cell>
          <cell r="I1041" t="str">
            <v>F219Y</v>
          </cell>
          <cell r="J1041" t="str">
            <v>&gt;16</v>
          </cell>
          <cell r="K1041">
            <v>1</v>
          </cell>
        </row>
        <row r="1042">
          <cell r="A1042" t="str">
            <v>E50</v>
          </cell>
          <cell r="B1042">
            <v>53.349805000000003</v>
          </cell>
          <cell r="C1042">
            <v>-6.2603099999999996</v>
          </cell>
          <cell r="D1042">
            <v>2015</v>
          </cell>
          <cell r="E1042" t="str">
            <v>Republic of Ireland</v>
          </cell>
          <cell r="F1042" t="str">
            <v>TR46/Y121F/T289A</v>
          </cell>
          <cell r="G1042" t="str">
            <v>MAT1-2</v>
          </cell>
          <cell r="H1042" t="str">
            <v>Environmental</v>
          </cell>
          <cell r="I1042" t="str">
            <v>F219Y</v>
          </cell>
          <cell r="K1042">
            <v>3</v>
          </cell>
        </row>
        <row r="1043">
          <cell r="A1043" t="str">
            <v>E500</v>
          </cell>
          <cell r="B1043">
            <v>51.507199999999997</v>
          </cell>
          <cell r="C1043">
            <v>0.12759999999999999</v>
          </cell>
          <cell r="D1043">
            <v>2018</v>
          </cell>
          <cell r="E1043" t="str">
            <v>UK</v>
          </cell>
          <cell r="F1043" t="str">
            <v>TR46/Y121F/T289A</v>
          </cell>
          <cell r="G1043">
            <v>0</v>
          </cell>
          <cell r="H1043" t="str">
            <v>Environmental</v>
          </cell>
          <cell r="I1043" t="str">
            <v>F219Y</v>
          </cell>
          <cell r="K1043">
            <v>3</v>
          </cell>
        </row>
        <row r="1044">
          <cell r="A1044" t="str">
            <v>E501</v>
          </cell>
          <cell r="B1044">
            <v>51.507199999999997</v>
          </cell>
          <cell r="C1044">
            <v>0.12759999999999999</v>
          </cell>
          <cell r="D1044">
            <v>2018</v>
          </cell>
          <cell r="E1044" t="str">
            <v>UK</v>
          </cell>
          <cell r="F1044" t="str">
            <v>TR34/L98H</v>
          </cell>
          <cell r="G1044">
            <v>0</v>
          </cell>
          <cell r="H1044" t="str">
            <v>Environmental</v>
          </cell>
          <cell r="I1044" t="str">
            <v>F219Y</v>
          </cell>
          <cell r="K1044">
            <v>3</v>
          </cell>
        </row>
        <row r="1045">
          <cell r="A1045" t="str">
            <v>E502</v>
          </cell>
          <cell r="B1045">
            <v>51.507199999999997</v>
          </cell>
          <cell r="C1045">
            <v>0.12759999999999999</v>
          </cell>
          <cell r="D1045">
            <v>2018</v>
          </cell>
          <cell r="E1045" t="str">
            <v>UK</v>
          </cell>
          <cell r="F1045" t="str">
            <v>TR34/L98H</v>
          </cell>
          <cell r="G1045">
            <v>0</v>
          </cell>
          <cell r="H1045" t="str">
            <v>Environmental</v>
          </cell>
          <cell r="I1045" t="str">
            <v>Wildtype</v>
          </cell>
          <cell r="K1045">
            <v>3</v>
          </cell>
        </row>
        <row r="1046">
          <cell r="A1046" t="str">
            <v>E503</v>
          </cell>
          <cell r="B1046">
            <v>9.171799</v>
          </cell>
          <cell r="C1046">
            <v>105.144859</v>
          </cell>
          <cell r="D1046">
            <v>2018</v>
          </cell>
          <cell r="E1046" t="str">
            <v>UK</v>
          </cell>
          <cell r="F1046" t="str">
            <v>Wildtype</v>
          </cell>
          <cell r="G1046">
            <v>0</v>
          </cell>
          <cell r="H1046" t="str">
            <v>Environmental</v>
          </cell>
          <cell r="I1046" t="str">
            <v>Wildtype</v>
          </cell>
          <cell r="K1046">
            <v>3</v>
          </cell>
        </row>
        <row r="1047">
          <cell r="A1047" t="str">
            <v>E505</v>
          </cell>
          <cell r="B1047">
            <v>10.691228000000001</v>
          </cell>
          <cell r="C1047">
            <v>106.654811</v>
          </cell>
          <cell r="D1047">
            <v>2018</v>
          </cell>
          <cell r="E1047" t="str">
            <v>UK</v>
          </cell>
          <cell r="F1047" t="str">
            <v>Wildtype</v>
          </cell>
          <cell r="G1047">
            <v>0</v>
          </cell>
          <cell r="H1047" t="str">
            <v>Environmental</v>
          </cell>
          <cell r="I1047" t="str">
            <v>Wildtype</v>
          </cell>
          <cell r="K1047">
            <v>4</v>
          </cell>
        </row>
        <row r="1048">
          <cell r="A1048" t="str">
            <v>E506</v>
          </cell>
          <cell r="B1048">
            <v>9.1712620000000005</v>
          </cell>
          <cell r="C1048">
            <v>105.16067200000001</v>
          </cell>
          <cell r="D1048">
            <v>2018</v>
          </cell>
          <cell r="E1048" t="str">
            <v>UK</v>
          </cell>
          <cell r="F1048" t="str">
            <v>TR34/L98H</v>
          </cell>
          <cell r="G1048">
            <v>0</v>
          </cell>
          <cell r="H1048" t="str">
            <v>Environmental</v>
          </cell>
          <cell r="I1048" t="str">
            <v>Wildtype</v>
          </cell>
          <cell r="J1048" t="str">
            <v>&gt;16</v>
          </cell>
          <cell r="K1048">
            <v>3</v>
          </cell>
        </row>
        <row r="1049">
          <cell r="A1049" t="str">
            <v>E507</v>
          </cell>
          <cell r="B1049">
            <v>10.801076999999999</v>
          </cell>
          <cell r="C1049">
            <v>106.645702</v>
          </cell>
          <cell r="D1049">
            <v>2018</v>
          </cell>
          <cell r="E1049" t="str">
            <v>UK</v>
          </cell>
          <cell r="F1049" t="str">
            <v>TR34/L98H</v>
          </cell>
          <cell r="G1049">
            <v>0</v>
          </cell>
          <cell r="H1049" t="str">
            <v>Environmental</v>
          </cell>
          <cell r="I1049" t="str">
            <v>Wildtype</v>
          </cell>
          <cell r="J1049" t="str">
            <v>&gt;16</v>
          </cell>
          <cell r="K1049">
            <v>3</v>
          </cell>
        </row>
        <row r="1050">
          <cell r="A1050" t="str">
            <v>E508</v>
          </cell>
          <cell r="B1050">
            <v>10.752462</v>
          </cell>
          <cell r="C1050">
            <v>106.679823</v>
          </cell>
          <cell r="D1050">
            <v>2018</v>
          </cell>
          <cell r="E1050" t="str">
            <v>UK</v>
          </cell>
          <cell r="F1050" t="str">
            <v>TR34/L98H</v>
          </cell>
          <cell r="G1050">
            <v>0</v>
          </cell>
          <cell r="H1050" t="str">
            <v>Environmental</v>
          </cell>
          <cell r="I1050" t="str">
            <v>Wildtype</v>
          </cell>
          <cell r="J1050" t="str">
            <v>&gt;16</v>
          </cell>
          <cell r="K1050">
            <v>3</v>
          </cell>
        </row>
        <row r="1051">
          <cell r="A1051" t="str">
            <v>E509</v>
          </cell>
          <cell r="B1051">
            <v>10.754664999999999</v>
          </cell>
          <cell r="C1051">
            <v>106.710162</v>
          </cell>
          <cell r="D1051">
            <v>2018</v>
          </cell>
          <cell r="E1051" t="str">
            <v>UK</v>
          </cell>
          <cell r="F1051" t="str">
            <v>TR34/L98H</v>
          </cell>
          <cell r="G1051">
            <v>0</v>
          </cell>
          <cell r="H1051" t="str">
            <v>Environmental</v>
          </cell>
          <cell r="I1051" t="str">
            <v>Wildtype</v>
          </cell>
          <cell r="J1051" t="str">
            <v>&gt;16</v>
          </cell>
          <cell r="K1051">
            <v>3</v>
          </cell>
        </row>
        <row r="1052">
          <cell r="A1052" t="str">
            <v>E510</v>
          </cell>
          <cell r="B1052">
            <v>10.754664999999999</v>
          </cell>
          <cell r="C1052">
            <v>106.710162</v>
          </cell>
          <cell r="D1052">
            <v>2018</v>
          </cell>
          <cell r="E1052" t="str">
            <v>UK</v>
          </cell>
          <cell r="F1052" t="str">
            <v>TR34/L98H</v>
          </cell>
          <cell r="G1052">
            <v>0</v>
          </cell>
          <cell r="H1052" t="str">
            <v>Environmental</v>
          </cell>
          <cell r="I1052" t="str">
            <v>Wildtype</v>
          </cell>
          <cell r="J1052" t="str">
            <v>&gt;16</v>
          </cell>
          <cell r="K1052">
            <v>3</v>
          </cell>
        </row>
        <row r="1053">
          <cell r="A1053" t="str">
            <v>E511</v>
          </cell>
          <cell r="B1053">
            <v>10.754664999999999</v>
          </cell>
          <cell r="C1053">
            <v>106.710162</v>
          </cell>
          <cell r="D1053">
            <v>2018</v>
          </cell>
          <cell r="E1053" t="str">
            <v>UK</v>
          </cell>
          <cell r="F1053" t="str">
            <v>TR34/L98H</v>
          </cell>
          <cell r="G1053">
            <v>0</v>
          </cell>
          <cell r="H1053" t="str">
            <v>Environmental</v>
          </cell>
          <cell r="I1053" t="str">
            <v>Wildtype</v>
          </cell>
          <cell r="J1053" t="str">
            <v>&gt;16</v>
          </cell>
          <cell r="K1053">
            <v>3</v>
          </cell>
        </row>
        <row r="1054">
          <cell r="A1054" t="str">
            <v>E512</v>
          </cell>
          <cell r="B1054">
            <v>64.054472000000004</v>
          </cell>
          <cell r="C1054">
            <v>-21.306471999999999</v>
          </cell>
          <cell r="D1054">
            <v>2018</v>
          </cell>
          <cell r="E1054" t="str">
            <v>Iceland</v>
          </cell>
          <cell r="F1054" t="str">
            <v>Wildtype</v>
          </cell>
          <cell r="G1054">
            <v>0</v>
          </cell>
          <cell r="H1054" t="str">
            <v>Environmental</v>
          </cell>
          <cell r="I1054" t="str">
            <v>Wildtype</v>
          </cell>
          <cell r="K1054">
            <v>3</v>
          </cell>
        </row>
        <row r="1055">
          <cell r="A1055" t="str">
            <v>E513</v>
          </cell>
          <cell r="B1055">
            <v>64.054472000000004</v>
          </cell>
          <cell r="C1055">
            <v>-21.306471999999999</v>
          </cell>
          <cell r="D1055">
            <v>2018</v>
          </cell>
          <cell r="E1055" t="str">
            <v>Iceland</v>
          </cell>
          <cell r="F1055" t="str">
            <v>Wildtype</v>
          </cell>
          <cell r="G1055">
            <v>0</v>
          </cell>
          <cell r="H1055" t="str">
            <v>Environmental</v>
          </cell>
          <cell r="I1055" t="str">
            <v>Wildtype</v>
          </cell>
          <cell r="K1055">
            <v>5</v>
          </cell>
        </row>
        <row r="1056">
          <cell r="A1056" t="str">
            <v>E514</v>
          </cell>
          <cell r="B1056">
            <v>64.054472000000004</v>
          </cell>
          <cell r="C1056">
            <v>-21.306471999999999</v>
          </cell>
          <cell r="D1056">
            <v>2018</v>
          </cell>
          <cell r="E1056" t="str">
            <v>Iceland</v>
          </cell>
          <cell r="F1056" t="str">
            <v>Wildtype</v>
          </cell>
          <cell r="G1056">
            <v>0</v>
          </cell>
          <cell r="H1056" t="str">
            <v>Environmental</v>
          </cell>
          <cell r="I1056" t="str">
            <v>Wildtype</v>
          </cell>
          <cell r="K1056">
            <v>3</v>
          </cell>
        </row>
        <row r="1057">
          <cell r="A1057" t="str">
            <v>E515</v>
          </cell>
          <cell r="B1057">
            <v>64.054472000000004</v>
          </cell>
          <cell r="C1057">
            <v>-21.306471999999999</v>
          </cell>
          <cell r="D1057">
            <v>2018</v>
          </cell>
          <cell r="E1057" t="str">
            <v>Iceland</v>
          </cell>
          <cell r="F1057" t="str">
            <v>Wildtype</v>
          </cell>
          <cell r="G1057">
            <v>0</v>
          </cell>
          <cell r="H1057" t="str">
            <v>Environmental</v>
          </cell>
          <cell r="I1057" t="str">
            <v>Wildtype</v>
          </cell>
          <cell r="K1057">
            <v>3</v>
          </cell>
        </row>
        <row r="1058">
          <cell r="A1058" t="str">
            <v>E516</v>
          </cell>
          <cell r="B1058">
            <v>64.054277999999996</v>
          </cell>
          <cell r="C1058">
            <v>-21.305693999999999</v>
          </cell>
          <cell r="D1058">
            <v>2018</v>
          </cell>
          <cell r="E1058" t="str">
            <v>Iceland</v>
          </cell>
          <cell r="F1058" t="str">
            <v>TR46/Y121F/T289A</v>
          </cell>
          <cell r="G1058">
            <v>0</v>
          </cell>
          <cell r="H1058" t="str">
            <v>Environmental</v>
          </cell>
          <cell r="I1058" t="str">
            <v>F219Y</v>
          </cell>
          <cell r="K1058">
            <v>3</v>
          </cell>
        </row>
        <row r="1059">
          <cell r="A1059" t="str">
            <v>E517</v>
          </cell>
          <cell r="B1059">
            <v>64.054277999999996</v>
          </cell>
          <cell r="C1059">
            <v>-21.305693999999999</v>
          </cell>
          <cell r="D1059">
            <v>2018</v>
          </cell>
          <cell r="E1059" t="str">
            <v>Iceland</v>
          </cell>
          <cell r="F1059" t="str">
            <v>TR46/Y121F/T289A</v>
          </cell>
          <cell r="G1059">
            <v>0</v>
          </cell>
          <cell r="H1059" t="str">
            <v>Environmental</v>
          </cell>
          <cell r="I1059" t="str">
            <v>F219Y</v>
          </cell>
          <cell r="K1059">
            <v>3</v>
          </cell>
        </row>
        <row r="1060">
          <cell r="A1060" t="str">
            <v>E518</v>
          </cell>
          <cell r="B1060">
            <v>64.054472000000004</v>
          </cell>
          <cell r="C1060">
            <v>-21.306471999999999</v>
          </cell>
          <cell r="D1060">
            <v>2018</v>
          </cell>
          <cell r="E1060" t="str">
            <v>Iceland</v>
          </cell>
          <cell r="F1060" t="str">
            <v>Wildtype</v>
          </cell>
          <cell r="G1060">
            <v>0</v>
          </cell>
          <cell r="H1060" t="str">
            <v>Environmental</v>
          </cell>
          <cell r="I1060" t="str">
            <v>Wildtype</v>
          </cell>
          <cell r="K1060">
            <v>3</v>
          </cell>
        </row>
        <row r="1061">
          <cell r="A1061" t="str">
            <v>E519</v>
          </cell>
          <cell r="B1061">
            <v>64.054472000000004</v>
          </cell>
          <cell r="C1061">
            <v>-21.306471999999999</v>
          </cell>
          <cell r="D1061">
            <v>2018</v>
          </cell>
          <cell r="E1061" t="str">
            <v>Iceland</v>
          </cell>
          <cell r="F1061" t="str">
            <v>TR46/Y121F/T289A</v>
          </cell>
          <cell r="G1061">
            <v>0</v>
          </cell>
          <cell r="H1061" t="str">
            <v>Environmental</v>
          </cell>
          <cell r="I1061" t="str">
            <v>F219Y</v>
          </cell>
          <cell r="K1061">
            <v>3</v>
          </cell>
        </row>
        <row r="1062">
          <cell r="A1062" t="str">
            <v>E52</v>
          </cell>
          <cell r="B1062">
            <v>53.349805000000003</v>
          </cell>
          <cell r="C1062">
            <v>-6.2603099999999996</v>
          </cell>
          <cell r="D1062">
            <v>2015</v>
          </cell>
          <cell r="E1062" t="str">
            <v>Republic of Ireland</v>
          </cell>
          <cell r="F1062" t="str">
            <v>Wildtype</v>
          </cell>
          <cell r="G1062" t="str">
            <v>MAT1-1</v>
          </cell>
          <cell r="H1062" t="str">
            <v>Environmental</v>
          </cell>
          <cell r="I1062" t="str">
            <v>Wildtype</v>
          </cell>
          <cell r="K1062">
            <v>4</v>
          </cell>
        </row>
        <row r="1063">
          <cell r="A1063" t="str">
            <v>E520</v>
          </cell>
          <cell r="B1063">
            <v>64.054277999999996</v>
          </cell>
          <cell r="C1063">
            <v>-21.305693999999999</v>
          </cell>
          <cell r="D1063">
            <v>2018</v>
          </cell>
          <cell r="E1063" t="str">
            <v>Iceland</v>
          </cell>
          <cell r="F1063" t="str">
            <v>Wildtype</v>
          </cell>
          <cell r="G1063">
            <v>0</v>
          </cell>
          <cell r="H1063" t="str">
            <v>Environmental</v>
          </cell>
          <cell r="I1063" t="str">
            <v>Wildtype</v>
          </cell>
          <cell r="K1063">
            <v>3</v>
          </cell>
        </row>
        <row r="1064">
          <cell r="A1064" t="str">
            <v>E521</v>
          </cell>
          <cell r="B1064">
            <v>64.963050999999993</v>
          </cell>
          <cell r="C1064">
            <v>-19.020835999999999</v>
          </cell>
          <cell r="D1064">
            <v>2018</v>
          </cell>
          <cell r="E1064" t="str">
            <v>Iceland</v>
          </cell>
          <cell r="F1064" t="str">
            <v>TR46/Y121F/T289A</v>
          </cell>
          <cell r="G1064">
            <v>0</v>
          </cell>
          <cell r="H1064" t="str">
            <v>Environmental</v>
          </cell>
          <cell r="I1064" t="str">
            <v>F219Y</v>
          </cell>
          <cell r="K1064">
            <v>3</v>
          </cell>
        </row>
        <row r="1065">
          <cell r="A1065" t="str">
            <v>E522</v>
          </cell>
          <cell r="B1065">
            <v>64.055806000000004</v>
          </cell>
          <cell r="C1065">
            <v>-21.303722</v>
          </cell>
          <cell r="D1065">
            <v>2018</v>
          </cell>
          <cell r="E1065" t="str">
            <v>Iceland</v>
          </cell>
          <cell r="F1065" t="str">
            <v>TR34/L98H</v>
          </cell>
          <cell r="G1065">
            <v>0</v>
          </cell>
          <cell r="H1065" t="str">
            <v>Environmental</v>
          </cell>
          <cell r="I1065" t="str">
            <v>F219Y</v>
          </cell>
          <cell r="K1065">
            <v>3</v>
          </cell>
        </row>
        <row r="1066">
          <cell r="A1066" t="str">
            <v>E523</v>
          </cell>
          <cell r="B1066">
            <v>64.055806000000004</v>
          </cell>
          <cell r="C1066">
            <v>-21.303722</v>
          </cell>
          <cell r="D1066">
            <v>2018</v>
          </cell>
          <cell r="E1066" t="str">
            <v>Iceland</v>
          </cell>
          <cell r="F1066" t="str">
            <v>TR34/L98H</v>
          </cell>
          <cell r="G1066">
            <v>0</v>
          </cell>
          <cell r="H1066" t="str">
            <v>Environmental</v>
          </cell>
          <cell r="I1066" t="str">
            <v>F219Y</v>
          </cell>
          <cell r="K1066">
            <v>3</v>
          </cell>
        </row>
        <row r="1067">
          <cell r="A1067" t="str">
            <v>E524</v>
          </cell>
          <cell r="B1067">
            <v>64.055806000000004</v>
          </cell>
          <cell r="C1067">
            <v>-21.303722</v>
          </cell>
          <cell r="D1067">
            <v>2018</v>
          </cell>
          <cell r="E1067" t="str">
            <v>Iceland</v>
          </cell>
          <cell r="F1067" t="str">
            <v>TR34/L98H</v>
          </cell>
          <cell r="G1067">
            <v>0</v>
          </cell>
          <cell r="H1067" t="str">
            <v>Environmental</v>
          </cell>
          <cell r="I1067" t="str">
            <v>F219Y</v>
          </cell>
          <cell r="K1067">
            <v>3</v>
          </cell>
        </row>
        <row r="1068">
          <cell r="A1068" t="str">
            <v>E525</v>
          </cell>
          <cell r="B1068">
            <v>64.055278000000001</v>
          </cell>
          <cell r="C1068">
            <v>-21.303722</v>
          </cell>
          <cell r="D1068">
            <v>2018</v>
          </cell>
          <cell r="E1068" t="str">
            <v>Iceland</v>
          </cell>
          <cell r="F1068" t="str">
            <v>TR34/L98H</v>
          </cell>
          <cell r="G1068">
            <v>0</v>
          </cell>
          <cell r="H1068" t="str">
            <v>Environmental</v>
          </cell>
          <cell r="I1068" t="str">
            <v>F219Y</v>
          </cell>
          <cell r="K1068">
            <v>4</v>
          </cell>
        </row>
        <row r="1069">
          <cell r="A1069" t="str">
            <v>E526</v>
          </cell>
          <cell r="B1069">
            <v>64.055278000000001</v>
          </cell>
          <cell r="C1069">
            <v>-21.303722</v>
          </cell>
          <cell r="D1069">
            <v>2018</v>
          </cell>
          <cell r="E1069" t="str">
            <v>Iceland</v>
          </cell>
          <cell r="F1069" t="str">
            <v>TR34/L98H</v>
          </cell>
          <cell r="G1069">
            <v>0</v>
          </cell>
          <cell r="H1069" t="str">
            <v>Environmental</v>
          </cell>
          <cell r="I1069" t="str">
            <v>F219Y</v>
          </cell>
          <cell r="K1069">
            <v>3</v>
          </cell>
        </row>
        <row r="1070">
          <cell r="A1070" t="str">
            <v>E528</v>
          </cell>
          <cell r="B1070">
            <v>52.433599999999998</v>
          </cell>
          <cell r="C1070">
            <v>1.7901</v>
          </cell>
          <cell r="D1070">
            <v>2018</v>
          </cell>
          <cell r="E1070" t="str">
            <v>UK</v>
          </cell>
          <cell r="F1070" t="str">
            <v>Wildtype</v>
          </cell>
          <cell r="G1070">
            <v>0</v>
          </cell>
          <cell r="H1070" t="str">
            <v>Environmental</v>
          </cell>
          <cell r="I1070" t="str">
            <v>F219Y</v>
          </cell>
          <cell r="K1070">
            <v>5</v>
          </cell>
        </row>
        <row r="1071">
          <cell r="A1071" t="str">
            <v>E529</v>
          </cell>
          <cell r="B1071">
            <v>51.381100000000004</v>
          </cell>
          <cell r="C1071">
            <v>2.359</v>
          </cell>
          <cell r="D1071">
            <v>2018</v>
          </cell>
          <cell r="E1071" t="str">
            <v>UK</v>
          </cell>
          <cell r="F1071" t="str">
            <v>TR34/L98H</v>
          </cell>
          <cell r="G1071">
            <v>0</v>
          </cell>
          <cell r="H1071" t="str">
            <v>Environmental</v>
          </cell>
          <cell r="I1071" t="str">
            <v>F219Y</v>
          </cell>
          <cell r="K1071">
            <v>3</v>
          </cell>
        </row>
        <row r="1072">
          <cell r="A1072" t="str">
            <v>E53</v>
          </cell>
          <cell r="B1072">
            <v>53.349805000000003</v>
          </cell>
          <cell r="C1072">
            <v>-6.2603099999999996</v>
          </cell>
          <cell r="D1072">
            <v>2015</v>
          </cell>
          <cell r="E1072" t="str">
            <v>Republic of Ireland</v>
          </cell>
          <cell r="F1072" t="str">
            <v>Wildtype</v>
          </cell>
          <cell r="G1072" t="str">
            <v>MAT1-2</v>
          </cell>
          <cell r="H1072" t="str">
            <v>Environmental</v>
          </cell>
          <cell r="I1072" t="str">
            <v>Wildtype</v>
          </cell>
          <cell r="K1072">
            <v>4</v>
          </cell>
        </row>
        <row r="1073">
          <cell r="A1073" t="str">
            <v>E530</v>
          </cell>
          <cell r="B1073">
            <v>50.875900000000001</v>
          </cell>
          <cell r="C1073">
            <v>1.6328</v>
          </cell>
          <cell r="D1073">
            <v>2018</v>
          </cell>
          <cell r="E1073" t="str">
            <v>UK</v>
          </cell>
          <cell r="F1073" t="str">
            <v>TR34/L98H</v>
          </cell>
          <cell r="G1073">
            <v>0</v>
          </cell>
          <cell r="H1073" t="str">
            <v>Environmental</v>
          </cell>
          <cell r="I1073" t="str">
            <v>Wildtype</v>
          </cell>
          <cell r="K1073">
            <v>2</v>
          </cell>
        </row>
        <row r="1074">
          <cell r="A1074" t="str">
            <v>E531</v>
          </cell>
          <cell r="B1074">
            <v>54.77346</v>
          </cell>
          <cell r="C1074">
            <v>56.034750000000003</v>
          </cell>
          <cell r="D1074">
            <v>1992</v>
          </cell>
          <cell r="E1074" t="str">
            <v>Russia</v>
          </cell>
          <cell r="F1074" t="str">
            <v>Wildtype</v>
          </cell>
          <cell r="G1074">
            <v>0</v>
          </cell>
          <cell r="H1074" t="str">
            <v>Environmental</v>
          </cell>
          <cell r="I1074" t="str">
            <v>Wildtype</v>
          </cell>
          <cell r="K1074">
            <v>3</v>
          </cell>
        </row>
        <row r="1075">
          <cell r="A1075" t="str">
            <v>E532</v>
          </cell>
          <cell r="B1075">
            <v>54.77346</v>
          </cell>
          <cell r="C1075">
            <v>56.034750000000003</v>
          </cell>
          <cell r="D1075">
            <v>1992</v>
          </cell>
          <cell r="E1075" t="str">
            <v>Russia</v>
          </cell>
          <cell r="F1075" t="str">
            <v>Wildtype</v>
          </cell>
          <cell r="G1075">
            <v>0</v>
          </cell>
          <cell r="H1075" t="str">
            <v>Environmental</v>
          </cell>
          <cell r="I1075" t="str">
            <v>Wildtype</v>
          </cell>
          <cell r="K1075">
            <v>3</v>
          </cell>
        </row>
        <row r="1076">
          <cell r="A1076" t="str">
            <v>E533</v>
          </cell>
          <cell r="B1076">
            <v>28.1022</v>
          </cell>
          <cell r="C1076">
            <v>-81.712000000000003</v>
          </cell>
          <cell r="D1076">
            <v>2018</v>
          </cell>
          <cell r="E1076" t="str">
            <v>USA</v>
          </cell>
          <cell r="F1076" t="str">
            <v>Wildtype</v>
          </cell>
          <cell r="G1076" t="e">
            <v>#N/A</v>
          </cell>
          <cell r="H1076" t="str">
            <v>Environmental</v>
          </cell>
          <cell r="I1076" t="str">
            <v>Wildtype</v>
          </cell>
          <cell r="J1076">
            <v>0.75</v>
          </cell>
          <cell r="K1076">
            <v>4</v>
          </cell>
        </row>
        <row r="1077">
          <cell r="A1077" t="str">
            <v>E534</v>
          </cell>
          <cell r="B1077">
            <v>28.1022</v>
          </cell>
          <cell r="C1077">
            <v>-81.712000000000003</v>
          </cell>
          <cell r="D1077">
            <v>2018</v>
          </cell>
          <cell r="E1077" t="str">
            <v>USA</v>
          </cell>
          <cell r="F1077" t="str">
            <v>Wildtype</v>
          </cell>
          <cell r="G1077" t="e">
            <v>#N/A</v>
          </cell>
          <cell r="H1077" t="str">
            <v>Environmental</v>
          </cell>
          <cell r="I1077" t="str">
            <v>Wildtype</v>
          </cell>
          <cell r="J1077">
            <v>0.5</v>
          </cell>
          <cell r="K1077">
            <v>4</v>
          </cell>
        </row>
        <row r="1078">
          <cell r="A1078" t="str">
            <v>E535</v>
          </cell>
          <cell r="B1078">
            <v>28.1022</v>
          </cell>
          <cell r="C1078">
            <v>-81.712000000000003</v>
          </cell>
          <cell r="D1078">
            <v>2018</v>
          </cell>
          <cell r="E1078" t="str">
            <v>USA</v>
          </cell>
          <cell r="F1078" t="str">
            <v>Wildtype</v>
          </cell>
          <cell r="G1078" t="e">
            <v>#N/A</v>
          </cell>
          <cell r="H1078" t="str">
            <v>Environmental</v>
          </cell>
          <cell r="I1078" t="str">
            <v>Wildtype</v>
          </cell>
          <cell r="J1078">
            <v>1</v>
          </cell>
          <cell r="K1078">
            <v>4</v>
          </cell>
        </row>
        <row r="1079">
          <cell r="A1079" t="str">
            <v>E536</v>
          </cell>
          <cell r="B1079">
            <v>28.1022</v>
          </cell>
          <cell r="C1079">
            <v>-81.712000000000003</v>
          </cell>
          <cell r="D1079">
            <v>2018</v>
          </cell>
          <cell r="E1079" t="str">
            <v>USA</v>
          </cell>
          <cell r="F1079" t="str">
            <v>Wildtype</v>
          </cell>
          <cell r="G1079" t="e">
            <v>#N/A</v>
          </cell>
          <cell r="H1079" t="str">
            <v>Environmental</v>
          </cell>
          <cell r="I1079" t="str">
            <v>Wildtype</v>
          </cell>
          <cell r="J1079">
            <v>0.5</v>
          </cell>
          <cell r="K1079">
            <v>4</v>
          </cell>
        </row>
        <row r="1080">
          <cell r="A1080" t="str">
            <v>E537</v>
          </cell>
          <cell r="B1080">
            <v>28.1022</v>
          </cell>
          <cell r="C1080">
            <v>-81.712000000000003</v>
          </cell>
          <cell r="D1080">
            <v>2018</v>
          </cell>
          <cell r="E1080" t="str">
            <v>USA</v>
          </cell>
          <cell r="F1080" t="str">
            <v>Wildtype</v>
          </cell>
          <cell r="G1080" t="e">
            <v>#N/A</v>
          </cell>
          <cell r="H1080" t="str">
            <v>Environmental</v>
          </cell>
          <cell r="I1080" t="str">
            <v>Wildtype</v>
          </cell>
          <cell r="J1080">
            <v>1</v>
          </cell>
          <cell r="K1080">
            <v>1</v>
          </cell>
        </row>
        <row r="1081">
          <cell r="A1081" t="str">
            <v>E538</v>
          </cell>
          <cell r="B1081">
            <v>28.1022</v>
          </cell>
          <cell r="C1081">
            <v>-81.712000000000003</v>
          </cell>
          <cell r="D1081">
            <v>2018</v>
          </cell>
          <cell r="E1081" t="str">
            <v>USA</v>
          </cell>
          <cell r="F1081" t="str">
            <v>Wildtype</v>
          </cell>
          <cell r="G1081" t="e">
            <v>#N/A</v>
          </cell>
          <cell r="H1081" t="str">
            <v>Environmental</v>
          </cell>
          <cell r="I1081" t="str">
            <v>Wildtype</v>
          </cell>
          <cell r="J1081">
            <v>1</v>
          </cell>
          <cell r="K1081">
            <v>4</v>
          </cell>
        </row>
        <row r="1082">
          <cell r="A1082" t="str">
            <v>E539</v>
          </cell>
          <cell r="B1082">
            <v>31.967199999999998</v>
          </cell>
          <cell r="C1082">
            <v>-83.783600000000007</v>
          </cell>
          <cell r="D1082">
            <v>2017</v>
          </cell>
          <cell r="E1082" t="str">
            <v>USA</v>
          </cell>
          <cell r="F1082" t="str">
            <v>Wildtype</v>
          </cell>
          <cell r="G1082" t="e">
            <v>#N/A</v>
          </cell>
          <cell r="H1082" t="str">
            <v>Environmental</v>
          </cell>
          <cell r="I1082" t="str">
            <v>Wildtype</v>
          </cell>
          <cell r="J1082">
            <v>1</v>
          </cell>
          <cell r="K1082">
            <v>4</v>
          </cell>
        </row>
        <row r="1083">
          <cell r="A1083" t="str">
            <v>E540</v>
          </cell>
          <cell r="B1083">
            <v>28.1022</v>
          </cell>
          <cell r="C1083">
            <v>-81.712000000000003</v>
          </cell>
          <cell r="D1083">
            <v>2018</v>
          </cell>
          <cell r="E1083" t="str">
            <v>USA</v>
          </cell>
          <cell r="F1083" t="str">
            <v>Wildtype</v>
          </cell>
          <cell r="G1083" t="e">
            <v>#N/A</v>
          </cell>
          <cell r="H1083" t="str">
            <v>Environmental</v>
          </cell>
          <cell r="I1083" t="str">
            <v>Wildtype</v>
          </cell>
          <cell r="J1083">
            <v>0.5</v>
          </cell>
          <cell r="K1083">
            <v>5</v>
          </cell>
        </row>
        <row r="1084">
          <cell r="A1084" t="str">
            <v>E542</v>
          </cell>
          <cell r="B1084">
            <v>28.1022</v>
          </cell>
          <cell r="C1084">
            <v>-81.712000000000003</v>
          </cell>
          <cell r="D1084">
            <v>2018</v>
          </cell>
          <cell r="E1084" t="str">
            <v>USA</v>
          </cell>
          <cell r="F1084" t="str">
            <v>Wildtype</v>
          </cell>
          <cell r="G1084" t="e">
            <v>#N/A</v>
          </cell>
          <cell r="H1084" t="str">
            <v>Environmental</v>
          </cell>
          <cell r="I1084" t="str">
            <v>Wildtype</v>
          </cell>
          <cell r="J1084">
            <v>0.5</v>
          </cell>
          <cell r="K1084">
            <v>4</v>
          </cell>
        </row>
        <row r="1085">
          <cell r="A1085" t="str">
            <v>E544</v>
          </cell>
          <cell r="B1085">
            <v>28.1022</v>
          </cell>
          <cell r="C1085">
            <v>-81.712000000000003</v>
          </cell>
          <cell r="D1085">
            <v>2018</v>
          </cell>
          <cell r="E1085" t="str">
            <v>USA</v>
          </cell>
          <cell r="F1085" t="str">
            <v>Wildtype</v>
          </cell>
          <cell r="G1085" t="e">
            <v>#N/A</v>
          </cell>
          <cell r="H1085" t="str">
            <v>Environmental</v>
          </cell>
          <cell r="I1085" t="str">
            <v>Wildtype</v>
          </cell>
          <cell r="J1085">
            <v>1</v>
          </cell>
          <cell r="K1085">
            <v>4</v>
          </cell>
        </row>
        <row r="1086">
          <cell r="A1086" t="str">
            <v>E545</v>
          </cell>
          <cell r="B1086">
            <v>27.761099999999999</v>
          </cell>
          <cell r="C1086">
            <v>-82.227699999999999</v>
          </cell>
          <cell r="D1086">
            <v>2018</v>
          </cell>
          <cell r="E1086" t="str">
            <v>USA</v>
          </cell>
          <cell r="F1086" t="str">
            <v>Wildtype</v>
          </cell>
          <cell r="G1086" t="e">
            <v>#N/A</v>
          </cell>
          <cell r="H1086" t="str">
            <v>Environmental</v>
          </cell>
          <cell r="I1086" t="str">
            <v>Wildtype</v>
          </cell>
          <cell r="J1086">
            <v>0.5</v>
          </cell>
          <cell r="K1086">
            <v>4</v>
          </cell>
        </row>
        <row r="1087">
          <cell r="A1087" t="str">
            <v>E546</v>
          </cell>
          <cell r="B1087">
            <v>28.1022</v>
          </cell>
          <cell r="C1087">
            <v>-81.712000000000003</v>
          </cell>
          <cell r="D1087">
            <v>2018</v>
          </cell>
          <cell r="E1087" t="str">
            <v>USA</v>
          </cell>
          <cell r="F1087" t="str">
            <v>Wildtype</v>
          </cell>
          <cell r="G1087" t="e">
            <v>#N/A</v>
          </cell>
          <cell r="H1087" t="str">
            <v>Environmental</v>
          </cell>
          <cell r="I1087" t="str">
            <v>Wildtype</v>
          </cell>
          <cell r="J1087">
            <v>1</v>
          </cell>
          <cell r="K1087">
            <v>4</v>
          </cell>
        </row>
        <row r="1088">
          <cell r="A1088" t="str">
            <v>E547</v>
          </cell>
          <cell r="B1088">
            <v>27.761099999999999</v>
          </cell>
          <cell r="C1088">
            <v>-82.227699999999999</v>
          </cell>
          <cell r="D1088">
            <v>2018</v>
          </cell>
          <cell r="E1088" t="str">
            <v>USA</v>
          </cell>
          <cell r="F1088" t="str">
            <v>Wildtype</v>
          </cell>
          <cell r="G1088" t="e">
            <v>#N/A</v>
          </cell>
          <cell r="H1088" t="str">
            <v>Environmental</v>
          </cell>
          <cell r="I1088" t="str">
            <v>Wildtype</v>
          </cell>
          <cell r="J1088">
            <v>1</v>
          </cell>
          <cell r="K1088">
            <v>4</v>
          </cell>
        </row>
        <row r="1089">
          <cell r="A1089" t="str">
            <v>E548</v>
          </cell>
          <cell r="B1089">
            <v>27.761099999999999</v>
          </cell>
          <cell r="C1089">
            <v>-82.227699999999999</v>
          </cell>
          <cell r="D1089">
            <v>2018</v>
          </cell>
          <cell r="E1089" t="str">
            <v>USA</v>
          </cell>
          <cell r="F1089" t="str">
            <v>Wildtype</v>
          </cell>
          <cell r="G1089" t="e">
            <v>#N/A</v>
          </cell>
          <cell r="H1089" t="str">
            <v>Environmental</v>
          </cell>
          <cell r="I1089" t="str">
            <v>Wildtype</v>
          </cell>
          <cell r="J1089">
            <v>1</v>
          </cell>
          <cell r="K1089">
            <v>5</v>
          </cell>
        </row>
        <row r="1090">
          <cell r="A1090" t="str">
            <v>E549</v>
          </cell>
          <cell r="B1090">
            <v>27.761099999999999</v>
          </cell>
          <cell r="C1090">
            <v>-82.227699999999999</v>
          </cell>
          <cell r="D1090">
            <v>2018</v>
          </cell>
          <cell r="E1090" t="str">
            <v>USA</v>
          </cell>
          <cell r="F1090" t="str">
            <v>Wildtype</v>
          </cell>
          <cell r="G1090" t="e">
            <v>#N/A</v>
          </cell>
          <cell r="H1090" t="str">
            <v>Environmental</v>
          </cell>
          <cell r="I1090" t="str">
            <v>Wildtype</v>
          </cell>
          <cell r="J1090">
            <v>0.5</v>
          </cell>
          <cell r="K1090">
            <v>4</v>
          </cell>
        </row>
        <row r="1091">
          <cell r="A1091" t="str">
            <v>E550</v>
          </cell>
          <cell r="B1091">
            <v>31.967199999999998</v>
          </cell>
          <cell r="C1091">
            <v>-83.783600000000007</v>
          </cell>
          <cell r="D1091">
            <v>2017</v>
          </cell>
          <cell r="E1091" t="str">
            <v>USA</v>
          </cell>
          <cell r="F1091" t="str">
            <v>Wildtype</v>
          </cell>
          <cell r="G1091" t="e">
            <v>#N/A</v>
          </cell>
          <cell r="H1091" t="str">
            <v>Environmental</v>
          </cell>
          <cell r="I1091" t="str">
            <v>Wildtype</v>
          </cell>
          <cell r="J1091">
            <v>1</v>
          </cell>
          <cell r="K1091">
            <v>4</v>
          </cell>
        </row>
        <row r="1092">
          <cell r="A1092" t="str">
            <v>E551</v>
          </cell>
          <cell r="B1092">
            <v>27.761099999999999</v>
          </cell>
          <cell r="C1092">
            <v>-82.227699999999999</v>
          </cell>
          <cell r="D1092">
            <v>2018</v>
          </cell>
          <cell r="E1092" t="str">
            <v>USA</v>
          </cell>
          <cell r="F1092" t="str">
            <v>Wildtype</v>
          </cell>
          <cell r="G1092" t="e">
            <v>#N/A</v>
          </cell>
          <cell r="H1092" t="str">
            <v>Environmental</v>
          </cell>
          <cell r="I1092" t="str">
            <v>Wildtype</v>
          </cell>
          <cell r="J1092">
            <v>0.5</v>
          </cell>
          <cell r="K1092">
            <v>5</v>
          </cell>
        </row>
        <row r="1093">
          <cell r="A1093" t="str">
            <v>E552</v>
          </cell>
          <cell r="B1093">
            <v>27.761099999999999</v>
          </cell>
          <cell r="C1093">
            <v>-82.227699999999999</v>
          </cell>
          <cell r="D1093">
            <v>2018</v>
          </cell>
          <cell r="E1093" t="str">
            <v>USA</v>
          </cell>
          <cell r="F1093" t="str">
            <v>Wildtype</v>
          </cell>
          <cell r="G1093" t="e">
            <v>#N/A</v>
          </cell>
          <cell r="H1093" t="str">
            <v>Environmental</v>
          </cell>
          <cell r="I1093" t="str">
            <v>Wildtype</v>
          </cell>
          <cell r="J1093">
            <v>1</v>
          </cell>
          <cell r="K1093">
            <v>4</v>
          </cell>
        </row>
        <row r="1094">
          <cell r="A1094" t="str">
            <v>E553</v>
          </cell>
          <cell r="B1094">
            <v>27.761099999999999</v>
          </cell>
          <cell r="C1094">
            <v>-82.227699999999999</v>
          </cell>
          <cell r="D1094">
            <v>2018</v>
          </cell>
          <cell r="E1094" t="str">
            <v>USA</v>
          </cell>
          <cell r="F1094" t="str">
            <v>Wildtype</v>
          </cell>
          <cell r="G1094" t="e">
            <v>#N/A</v>
          </cell>
          <cell r="H1094" t="str">
            <v>Environmental</v>
          </cell>
          <cell r="I1094" t="str">
            <v>Wildtype</v>
          </cell>
          <cell r="J1094">
            <v>1</v>
          </cell>
          <cell r="K1094">
            <v>1</v>
          </cell>
        </row>
        <row r="1095">
          <cell r="A1095" t="str">
            <v>E554</v>
          </cell>
          <cell r="B1095">
            <v>27.761099999999999</v>
          </cell>
          <cell r="C1095">
            <v>-82.227699999999999</v>
          </cell>
          <cell r="D1095">
            <v>2018</v>
          </cell>
          <cell r="E1095" t="str">
            <v>USA</v>
          </cell>
          <cell r="F1095" t="str">
            <v>Wildtype</v>
          </cell>
          <cell r="G1095" t="e">
            <v>#N/A</v>
          </cell>
          <cell r="H1095" t="str">
            <v>Environmental</v>
          </cell>
          <cell r="I1095" t="str">
            <v>Wildtype</v>
          </cell>
          <cell r="J1095">
            <v>1</v>
          </cell>
          <cell r="K1095">
            <v>4</v>
          </cell>
        </row>
        <row r="1096">
          <cell r="A1096" t="str">
            <v>E555</v>
          </cell>
          <cell r="B1096">
            <v>27.761099999999999</v>
          </cell>
          <cell r="C1096">
            <v>-82.227699999999999</v>
          </cell>
          <cell r="D1096">
            <v>2018</v>
          </cell>
          <cell r="E1096" t="str">
            <v>USA</v>
          </cell>
          <cell r="F1096" t="str">
            <v>Wildtype</v>
          </cell>
          <cell r="G1096" t="e">
            <v>#N/A</v>
          </cell>
          <cell r="H1096" t="str">
            <v>Environmental</v>
          </cell>
          <cell r="I1096" t="str">
            <v>Wildtype</v>
          </cell>
          <cell r="J1096">
            <v>0.5</v>
          </cell>
          <cell r="K1096">
            <v>4</v>
          </cell>
        </row>
        <row r="1097">
          <cell r="A1097" t="str">
            <v>E556</v>
          </cell>
          <cell r="B1097">
            <v>27.761099999999999</v>
          </cell>
          <cell r="C1097">
            <v>-82.227699999999999</v>
          </cell>
          <cell r="D1097">
            <v>2018</v>
          </cell>
          <cell r="E1097" t="str">
            <v>USA</v>
          </cell>
          <cell r="F1097" t="str">
            <v>Wildtype</v>
          </cell>
          <cell r="G1097" t="e">
            <v>#N/A</v>
          </cell>
          <cell r="H1097" t="str">
            <v>Environmental</v>
          </cell>
          <cell r="I1097" t="str">
            <v>Wildtype</v>
          </cell>
          <cell r="J1097">
            <v>1</v>
          </cell>
          <cell r="K1097">
            <v>1</v>
          </cell>
        </row>
        <row r="1098">
          <cell r="A1098" t="str">
            <v>E557</v>
          </cell>
          <cell r="B1098">
            <v>27.761099999999999</v>
          </cell>
          <cell r="C1098">
            <v>-82.227699999999999</v>
          </cell>
          <cell r="D1098">
            <v>2018</v>
          </cell>
          <cell r="E1098" t="str">
            <v>USA</v>
          </cell>
          <cell r="F1098" t="str">
            <v>Wildtype</v>
          </cell>
          <cell r="G1098" t="e">
            <v>#N/A</v>
          </cell>
          <cell r="H1098" t="str">
            <v>Environmental</v>
          </cell>
          <cell r="I1098" t="str">
            <v>Wildtype</v>
          </cell>
          <cell r="J1098">
            <v>1</v>
          </cell>
          <cell r="K1098">
            <v>4</v>
          </cell>
        </row>
        <row r="1099">
          <cell r="A1099" t="str">
            <v>E558</v>
          </cell>
          <cell r="B1099">
            <v>27.761099999999999</v>
          </cell>
          <cell r="C1099">
            <v>-82.227699999999999</v>
          </cell>
          <cell r="D1099">
            <v>2018</v>
          </cell>
          <cell r="E1099" t="str">
            <v>USA</v>
          </cell>
          <cell r="F1099" t="str">
            <v>Wildtype</v>
          </cell>
          <cell r="G1099" t="e">
            <v>#N/A</v>
          </cell>
          <cell r="H1099" t="str">
            <v>Environmental</v>
          </cell>
          <cell r="I1099" t="str">
            <v>Wildtype</v>
          </cell>
          <cell r="J1099">
            <v>1</v>
          </cell>
          <cell r="K1099">
            <v>4</v>
          </cell>
        </row>
        <row r="1100">
          <cell r="A1100" t="str">
            <v>E559</v>
          </cell>
          <cell r="B1100">
            <v>27.761099999999999</v>
          </cell>
          <cell r="C1100">
            <v>-82.227699999999999</v>
          </cell>
          <cell r="D1100">
            <v>2018</v>
          </cell>
          <cell r="E1100" t="str">
            <v>USA</v>
          </cell>
          <cell r="F1100" t="str">
            <v>Wildtype</v>
          </cell>
          <cell r="G1100" t="e">
            <v>#N/A</v>
          </cell>
          <cell r="H1100" t="str">
            <v>Environmental</v>
          </cell>
          <cell r="I1100" t="str">
            <v>Wildtype</v>
          </cell>
          <cell r="J1100">
            <v>1</v>
          </cell>
          <cell r="K1100">
            <v>4</v>
          </cell>
        </row>
        <row r="1101">
          <cell r="A1101" t="str">
            <v>E56</v>
          </cell>
          <cell r="B1101">
            <v>51.165691000000002</v>
          </cell>
          <cell r="C1101">
            <v>10.451525999999999</v>
          </cell>
          <cell r="D1101">
            <v>1919</v>
          </cell>
          <cell r="E1101" t="str">
            <v>Germany</v>
          </cell>
          <cell r="F1101" t="str">
            <v>Wildtype</v>
          </cell>
          <cell r="G1101" t="str">
            <v>MAT1-2</v>
          </cell>
          <cell r="H1101" t="str">
            <v>Environmental</v>
          </cell>
          <cell r="I1101" t="str">
            <v>Wildtype</v>
          </cell>
          <cell r="K1101">
            <v>4</v>
          </cell>
        </row>
        <row r="1102">
          <cell r="A1102" t="str">
            <v>E560</v>
          </cell>
          <cell r="B1102">
            <v>27.761099999999999</v>
          </cell>
          <cell r="C1102">
            <v>-82.227699999999999</v>
          </cell>
          <cell r="D1102">
            <v>2018</v>
          </cell>
          <cell r="E1102" t="str">
            <v>USA</v>
          </cell>
          <cell r="F1102" t="str">
            <v>Wildtype</v>
          </cell>
          <cell r="G1102" t="e">
            <v>#N/A</v>
          </cell>
          <cell r="H1102" t="str">
            <v>Environmental</v>
          </cell>
          <cell r="I1102" t="str">
            <v>Wildtype</v>
          </cell>
          <cell r="J1102">
            <v>1</v>
          </cell>
          <cell r="K1102">
            <v>4</v>
          </cell>
        </row>
        <row r="1103">
          <cell r="A1103" t="str">
            <v>E561</v>
          </cell>
          <cell r="B1103">
            <v>34.878599999999999</v>
          </cell>
          <cell r="C1103">
            <v>-83.955500000000001</v>
          </cell>
          <cell r="D1103">
            <v>2017</v>
          </cell>
          <cell r="E1103" t="str">
            <v>USA</v>
          </cell>
          <cell r="F1103" t="str">
            <v>Wildtype</v>
          </cell>
          <cell r="G1103" t="e">
            <v>#N/A</v>
          </cell>
          <cell r="H1103" t="str">
            <v>Environmental</v>
          </cell>
          <cell r="I1103" t="str">
            <v>Wildtype</v>
          </cell>
          <cell r="J1103">
            <v>1</v>
          </cell>
          <cell r="K1103">
            <v>4</v>
          </cell>
        </row>
        <row r="1104">
          <cell r="A1104" t="str">
            <v>E562</v>
          </cell>
          <cell r="B1104">
            <v>31.474599999999999</v>
          </cell>
          <cell r="C1104">
            <v>-83.530799999999999</v>
          </cell>
          <cell r="D1104">
            <v>2017</v>
          </cell>
          <cell r="E1104" t="str">
            <v>USA</v>
          </cell>
          <cell r="F1104" t="str">
            <v>Wildtype</v>
          </cell>
          <cell r="G1104" t="e">
            <v>#N/A</v>
          </cell>
          <cell r="H1104" t="str">
            <v>Environmental</v>
          </cell>
          <cell r="I1104" t="str">
            <v>Wildtype</v>
          </cell>
          <cell r="J1104">
            <v>1</v>
          </cell>
          <cell r="K1104">
            <v>4</v>
          </cell>
        </row>
        <row r="1105">
          <cell r="A1105" t="str">
            <v>E563</v>
          </cell>
          <cell r="B1105">
            <v>31.5487</v>
          </cell>
          <cell r="C1105">
            <v>-84.176400000000001</v>
          </cell>
          <cell r="D1105">
            <v>2017</v>
          </cell>
          <cell r="E1105" t="str">
            <v>USA</v>
          </cell>
          <cell r="F1105" t="str">
            <v>Wildtype</v>
          </cell>
          <cell r="G1105" t="e">
            <v>#N/A</v>
          </cell>
          <cell r="H1105" t="str">
            <v>Environmental</v>
          </cell>
          <cell r="I1105" t="str">
            <v>Wildtype</v>
          </cell>
          <cell r="J1105">
            <v>0.5</v>
          </cell>
          <cell r="K1105">
            <v>4</v>
          </cell>
        </row>
        <row r="1106">
          <cell r="A1106" t="str">
            <v>E564</v>
          </cell>
          <cell r="B1106">
            <v>31.5487</v>
          </cell>
          <cell r="C1106">
            <v>-84.176400000000001</v>
          </cell>
          <cell r="D1106">
            <v>2017</v>
          </cell>
          <cell r="E1106" t="str">
            <v>USA</v>
          </cell>
          <cell r="F1106" t="str">
            <v>Wildtype</v>
          </cell>
          <cell r="G1106" t="e">
            <v>#N/A</v>
          </cell>
          <cell r="H1106" t="str">
            <v>Environmental</v>
          </cell>
          <cell r="I1106" t="str">
            <v>Wildtype</v>
          </cell>
          <cell r="J1106">
            <v>0.5</v>
          </cell>
          <cell r="K1106">
            <v>4</v>
          </cell>
        </row>
        <row r="1107">
          <cell r="A1107" t="str">
            <v>E565</v>
          </cell>
          <cell r="B1107">
            <v>31.5487</v>
          </cell>
          <cell r="C1107">
            <v>-84.176400000000001</v>
          </cell>
          <cell r="D1107">
            <v>2017</v>
          </cell>
          <cell r="E1107" t="str">
            <v>USA</v>
          </cell>
          <cell r="F1107" t="str">
            <v>Wildtype</v>
          </cell>
          <cell r="G1107" t="e">
            <v>#N/A</v>
          </cell>
          <cell r="H1107" t="str">
            <v>Environmental</v>
          </cell>
          <cell r="I1107" t="str">
            <v>Wildtype</v>
          </cell>
          <cell r="J1107">
            <v>1</v>
          </cell>
          <cell r="K1107">
            <v>4</v>
          </cell>
        </row>
        <row r="1108">
          <cell r="A1108" t="str">
            <v>E566</v>
          </cell>
          <cell r="B1108">
            <v>31.5487</v>
          </cell>
          <cell r="C1108">
            <v>-84.176400000000001</v>
          </cell>
          <cell r="D1108">
            <v>2017</v>
          </cell>
          <cell r="E1108" t="str">
            <v>USA</v>
          </cell>
          <cell r="F1108" t="str">
            <v>Wildtype</v>
          </cell>
          <cell r="G1108" t="e">
            <v>#N/A</v>
          </cell>
          <cell r="H1108" t="str">
            <v>Environmental</v>
          </cell>
          <cell r="I1108" t="str">
            <v>Wildtype</v>
          </cell>
          <cell r="J1108">
            <v>1</v>
          </cell>
          <cell r="K1108">
            <v>4</v>
          </cell>
        </row>
        <row r="1109">
          <cell r="A1109" t="str">
            <v>E567</v>
          </cell>
          <cell r="B1109">
            <v>31.5487</v>
          </cell>
          <cell r="C1109">
            <v>-84.176400000000001</v>
          </cell>
          <cell r="D1109">
            <v>2017</v>
          </cell>
          <cell r="E1109" t="str">
            <v>USA</v>
          </cell>
          <cell r="F1109" t="str">
            <v>Wildtype</v>
          </cell>
          <cell r="G1109" t="e">
            <v>#N/A</v>
          </cell>
          <cell r="H1109" t="str">
            <v>Environmental</v>
          </cell>
          <cell r="I1109" t="str">
            <v>Wildtype</v>
          </cell>
          <cell r="J1109">
            <v>0.5</v>
          </cell>
          <cell r="K1109">
            <v>1</v>
          </cell>
        </row>
        <row r="1110">
          <cell r="A1110" t="str">
            <v>E568</v>
          </cell>
          <cell r="B1110">
            <v>31.5487</v>
          </cell>
          <cell r="C1110">
            <v>-84.176400000000001</v>
          </cell>
          <cell r="D1110">
            <v>2017</v>
          </cell>
          <cell r="E1110" t="str">
            <v>USA</v>
          </cell>
          <cell r="F1110" t="str">
            <v>Wildtype</v>
          </cell>
          <cell r="G1110" t="e">
            <v>#N/A</v>
          </cell>
          <cell r="H1110" t="str">
            <v>Environmental</v>
          </cell>
          <cell r="I1110" t="str">
            <v>Wildtype</v>
          </cell>
          <cell r="J1110">
            <v>0.5</v>
          </cell>
          <cell r="K1110">
            <v>4</v>
          </cell>
        </row>
        <row r="1111">
          <cell r="A1111" t="str">
            <v>E569</v>
          </cell>
          <cell r="B1111">
            <v>31.5487</v>
          </cell>
          <cell r="C1111">
            <v>-84.176400000000001</v>
          </cell>
          <cell r="D1111">
            <v>2017</v>
          </cell>
          <cell r="E1111" t="str">
            <v>USA</v>
          </cell>
          <cell r="F1111" t="str">
            <v>TR46/Y121F/T289A</v>
          </cell>
          <cell r="G1111" t="e">
            <v>#N/A</v>
          </cell>
          <cell r="H1111" t="str">
            <v>Environmental</v>
          </cell>
          <cell r="I1111" t="str">
            <v>F219Y</v>
          </cell>
          <cell r="J1111">
            <v>1</v>
          </cell>
          <cell r="K1111">
            <v>4</v>
          </cell>
        </row>
        <row r="1112">
          <cell r="A1112" t="str">
            <v>E57</v>
          </cell>
          <cell r="B1112">
            <v>-0.383106</v>
          </cell>
          <cell r="C1112">
            <v>-90.423333999999997</v>
          </cell>
          <cell r="D1112">
            <v>1965</v>
          </cell>
          <cell r="E1112" t="str">
            <v>Ecuador</v>
          </cell>
          <cell r="F1112" t="str">
            <v>Wildtype</v>
          </cell>
          <cell r="G1112" t="str">
            <v>MAT1-2</v>
          </cell>
          <cell r="H1112" t="str">
            <v>Environmental</v>
          </cell>
          <cell r="I1112" t="str">
            <v>Wildtype</v>
          </cell>
          <cell r="K1112">
            <v>4</v>
          </cell>
        </row>
        <row r="1113">
          <cell r="A1113" t="str">
            <v>E570</v>
          </cell>
          <cell r="B1113">
            <v>31.5487</v>
          </cell>
          <cell r="C1113">
            <v>-84.176400000000001</v>
          </cell>
          <cell r="D1113">
            <v>2017</v>
          </cell>
          <cell r="E1113" t="str">
            <v>USA</v>
          </cell>
          <cell r="F1113" t="str">
            <v>Wildtype</v>
          </cell>
          <cell r="G1113" t="e">
            <v>#N/A</v>
          </cell>
          <cell r="H1113" t="str">
            <v>Environmental</v>
          </cell>
          <cell r="I1113" t="str">
            <v>Wildtype</v>
          </cell>
          <cell r="J1113">
            <v>1</v>
          </cell>
          <cell r="K1113">
            <v>4</v>
          </cell>
        </row>
        <row r="1114">
          <cell r="A1114" t="str">
            <v>E571</v>
          </cell>
          <cell r="B1114">
            <v>31.5487</v>
          </cell>
          <cell r="C1114">
            <v>-84.176400000000001</v>
          </cell>
          <cell r="D1114">
            <v>2017</v>
          </cell>
          <cell r="E1114" t="str">
            <v>USA</v>
          </cell>
          <cell r="F1114" t="str">
            <v>Wildtype</v>
          </cell>
          <cell r="G1114" t="e">
            <v>#N/A</v>
          </cell>
          <cell r="H1114" t="str">
            <v>Environmental</v>
          </cell>
          <cell r="I1114" t="str">
            <v>Wildtype</v>
          </cell>
          <cell r="J1114">
            <v>0.5</v>
          </cell>
          <cell r="K1114">
            <v>4</v>
          </cell>
        </row>
        <row r="1115">
          <cell r="A1115" t="str">
            <v>E572</v>
          </cell>
          <cell r="B1115">
            <v>34.878599999999999</v>
          </cell>
          <cell r="C1115">
            <v>-83.955500000000001</v>
          </cell>
          <cell r="D1115">
            <v>2017</v>
          </cell>
          <cell r="E1115" t="str">
            <v>USA</v>
          </cell>
          <cell r="F1115" t="str">
            <v>Wildtype</v>
          </cell>
          <cell r="G1115" t="e">
            <v>#N/A</v>
          </cell>
          <cell r="H1115" t="str">
            <v>Environmental</v>
          </cell>
          <cell r="I1115" t="str">
            <v>Wildtype</v>
          </cell>
          <cell r="J1115">
            <v>0.5</v>
          </cell>
          <cell r="K1115">
            <v>4</v>
          </cell>
        </row>
        <row r="1116">
          <cell r="A1116" t="str">
            <v>E573</v>
          </cell>
          <cell r="B1116">
            <v>31.5487</v>
          </cell>
          <cell r="C1116">
            <v>-84.176400000000001</v>
          </cell>
          <cell r="D1116">
            <v>2017</v>
          </cell>
          <cell r="E1116" t="str">
            <v>USA</v>
          </cell>
          <cell r="F1116" t="str">
            <v>Wildtype</v>
          </cell>
          <cell r="G1116" t="e">
            <v>#N/A</v>
          </cell>
          <cell r="H1116" t="str">
            <v>Environmental</v>
          </cell>
          <cell r="I1116" t="str">
            <v>Wildtype</v>
          </cell>
          <cell r="J1116">
            <v>0.5</v>
          </cell>
          <cell r="K1116">
            <v>4</v>
          </cell>
        </row>
        <row r="1117">
          <cell r="A1117" t="str">
            <v>E574</v>
          </cell>
          <cell r="B1117">
            <v>31.5487</v>
          </cell>
          <cell r="C1117">
            <v>-84.176400000000001</v>
          </cell>
          <cell r="D1117">
            <v>2017</v>
          </cell>
          <cell r="E1117" t="str">
            <v>USA</v>
          </cell>
          <cell r="F1117" t="str">
            <v>Wildtype</v>
          </cell>
          <cell r="G1117" t="e">
            <v>#N/A</v>
          </cell>
          <cell r="H1117" t="str">
            <v>Environmental</v>
          </cell>
          <cell r="I1117" t="str">
            <v>Wildtype</v>
          </cell>
          <cell r="J1117">
            <v>1</v>
          </cell>
          <cell r="K1117">
            <v>4</v>
          </cell>
        </row>
        <row r="1118">
          <cell r="A1118" t="str">
            <v>E575</v>
          </cell>
          <cell r="B1118">
            <v>31.5487</v>
          </cell>
          <cell r="C1118">
            <v>-84.176400000000001</v>
          </cell>
          <cell r="D1118">
            <v>2017</v>
          </cell>
          <cell r="E1118" t="str">
            <v>USA</v>
          </cell>
          <cell r="F1118" t="str">
            <v>Wildtype</v>
          </cell>
          <cell r="G1118" t="e">
            <v>#N/A</v>
          </cell>
          <cell r="H1118" t="str">
            <v>Environmental</v>
          </cell>
          <cell r="I1118" t="str">
            <v>Wildtype</v>
          </cell>
          <cell r="J1118">
            <v>1</v>
          </cell>
          <cell r="K1118">
            <v>4</v>
          </cell>
        </row>
        <row r="1119">
          <cell r="A1119" t="str">
            <v>E576</v>
          </cell>
          <cell r="B1119">
            <v>31.5487</v>
          </cell>
          <cell r="C1119">
            <v>-84.176400000000001</v>
          </cell>
          <cell r="D1119">
            <v>2017</v>
          </cell>
          <cell r="E1119" t="str">
            <v>USA</v>
          </cell>
          <cell r="F1119" t="str">
            <v>Wildtype</v>
          </cell>
          <cell r="G1119" t="e">
            <v>#N/A</v>
          </cell>
          <cell r="H1119" t="str">
            <v>Environmental</v>
          </cell>
          <cell r="I1119" t="str">
            <v>Wildtype</v>
          </cell>
          <cell r="J1119">
            <v>1</v>
          </cell>
          <cell r="K1119">
            <v>4</v>
          </cell>
        </row>
        <row r="1120">
          <cell r="A1120" t="str">
            <v>E577</v>
          </cell>
          <cell r="B1120">
            <v>31.5487</v>
          </cell>
          <cell r="C1120">
            <v>-84.176400000000001</v>
          </cell>
          <cell r="D1120">
            <v>2017</v>
          </cell>
          <cell r="E1120" t="str">
            <v>USA</v>
          </cell>
          <cell r="F1120" t="str">
            <v>Wildtype</v>
          </cell>
          <cell r="G1120" t="e">
            <v>#N/A</v>
          </cell>
          <cell r="H1120" t="str">
            <v>Environmental</v>
          </cell>
          <cell r="I1120" t="str">
            <v>Wildtype</v>
          </cell>
          <cell r="J1120">
            <v>1</v>
          </cell>
          <cell r="K1120">
            <v>5</v>
          </cell>
        </row>
        <row r="1121">
          <cell r="A1121" t="str">
            <v>E578</v>
          </cell>
          <cell r="B1121">
            <v>31.5487</v>
          </cell>
          <cell r="C1121">
            <v>-84.176400000000001</v>
          </cell>
          <cell r="D1121">
            <v>2017</v>
          </cell>
          <cell r="E1121" t="str">
            <v>USA</v>
          </cell>
          <cell r="F1121" t="str">
            <v>Wildtype</v>
          </cell>
          <cell r="G1121" t="e">
            <v>#N/A</v>
          </cell>
          <cell r="H1121" t="str">
            <v>Environmental</v>
          </cell>
          <cell r="I1121" t="str">
            <v>Wildtype</v>
          </cell>
          <cell r="J1121">
            <v>0.5</v>
          </cell>
          <cell r="K1121">
            <v>4</v>
          </cell>
        </row>
        <row r="1122">
          <cell r="A1122" t="str">
            <v>E579</v>
          </cell>
          <cell r="B1122">
            <v>31.5487</v>
          </cell>
          <cell r="C1122">
            <v>-84.176400000000001</v>
          </cell>
          <cell r="D1122">
            <v>2017</v>
          </cell>
          <cell r="E1122" t="str">
            <v>USA</v>
          </cell>
          <cell r="F1122" t="str">
            <v>Wildtype</v>
          </cell>
          <cell r="G1122" t="e">
            <v>#N/A</v>
          </cell>
          <cell r="H1122" t="str">
            <v>Environmental</v>
          </cell>
          <cell r="I1122" t="str">
            <v>Wildtype</v>
          </cell>
          <cell r="J1122">
            <v>1</v>
          </cell>
          <cell r="K1122">
            <v>5</v>
          </cell>
        </row>
        <row r="1123">
          <cell r="A1123" t="str">
            <v>E58</v>
          </cell>
          <cell r="B1123">
            <v>42.341867999999998</v>
          </cell>
          <cell r="C1123">
            <v>-95.477780999999993</v>
          </cell>
          <cell r="D1123">
            <v>1984</v>
          </cell>
          <cell r="E1123" t="str">
            <v>USA</v>
          </cell>
          <cell r="F1123" t="str">
            <v>Wildtype</v>
          </cell>
          <cell r="G1123" t="str">
            <v>MAT1-1</v>
          </cell>
          <cell r="H1123" t="str">
            <v>Environmental</v>
          </cell>
          <cell r="I1123" t="str">
            <v>Wildtype</v>
          </cell>
          <cell r="K1123">
            <v>3</v>
          </cell>
        </row>
        <row r="1124">
          <cell r="A1124" t="str">
            <v>E580</v>
          </cell>
          <cell r="B1124">
            <v>31.5487</v>
          </cell>
          <cell r="C1124">
            <v>-84.176400000000001</v>
          </cell>
          <cell r="D1124">
            <v>2017</v>
          </cell>
          <cell r="E1124" t="str">
            <v>USA</v>
          </cell>
          <cell r="F1124" t="str">
            <v>Wildtype</v>
          </cell>
          <cell r="G1124" t="e">
            <v>#N/A</v>
          </cell>
          <cell r="H1124" t="str">
            <v>Environmental</v>
          </cell>
          <cell r="I1124" t="str">
            <v>Wildtype</v>
          </cell>
          <cell r="J1124">
            <v>1</v>
          </cell>
          <cell r="K1124">
            <v>5</v>
          </cell>
        </row>
        <row r="1125">
          <cell r="A1125" t="str">
            <v>E581</v>
          </cell>
          <cell r="B1125">
            <v>31.5487</v>
          </cell>
          <cell r="C1125">
            <v>-84.176400000000001</v>
          </cell>
          <cell r="D1125">
            <v>2017</v>
          </cell>
          <cell r="E1125" t="str">
            <v>USA</v>
          </cell>
          <cell r="F1125" t="str">
            <v>Wildtype</v>
          </cell>
          <cell r="G1125" t="e">
            <v>#N/A</v>
          </cell>
          <cell r="H1125" t="str">
            <v>Environmental</v>
          </cell>
          <cell r="I1125" t="str">
            <v>Wildtype</v>
          </cell>
          <cell r="J1125">
            <v>0.5</v>
          </cell>
          <cell r="K1125">
            <v>4</v>
          </cell>
        </row>
        <row r="1126">
          <cell r="A1126" t="str">
            <v>E582</v>
          </cell>
          <cell r="B1126">
            <v>31.5487</v>
          </cell>
          <cell r="C1126">
            <v>-84.176400000000001</v>
          </cell>
          <cell r="D1126">
            <v>2017</v>
          </cell>
          <cell r="E1126" t="str">
            <v>USA</v>
          </cell>
          <cell r="F1126" t="str">
            <v>Wildtype</v>
          </cell>
          <cell r="G1126" t="e">
            <v>#N/A</v>
          </cell>
          <cell r="H1126" t="str">
            <v>Environmental</v>
          </cell>
          <cell r="I1126" t="str">
            <v>Wildtype</v>
          </cell>
          <cell r="J1126">
            <v>0.5</v>
          </cell>
          <cell r="K1126">
            <v>4</v>
          </cell>
        </row>
        <row r="1127">
          <cell r="A1127" t="str">
            <v>E583</v>
          </cell>
          <cell r="B1127">
            <v>31.5487</v>
          </cell>
          <cell r="C1127">
            <v>-84.176400000000001</v>
          </cell>
          <cell r="D1127">
            <v>2017</v>
          </cell>
          <cell r="E1127" t="str">
            <v>USA</v>
          </cell>
          <cell r="F1127" t="str">
            <v>Wildtype</v>
          </cell>
          <cell r="G1127" t="e">
            <v>#N/A</v>
          </cell>
          <cell r="H1127" t="str">
            <v>Environmental</v>
          </cell>
          <cell r="I1127" t="str">
            <v>Wildtype</v>
          </cell>
          <cell r="J1127">
            <v>1</v>
          </cell>
          <cell r="K1127">
            <v>4</v>
          </cell>
        </row>
        <row r="1128">
          <cell r="A1128" t="str">
            <v>E584</v>
          </cell>
          <cell r="B1128">
            <v>31.5487</v>
          </cell>
          <cell r="C1128">
            <v>-84.176400000000001</v>
          </cell>
          <cell r="D1128">
            <v>2017</v>
          </cell>
          <cell r="E1128" t="str">
            <v>USA</v>
          </cell>
          <cell r="F1128" t="str">
            <v>Wildtype</v>
          </cell>
          <cell r="G1128" t="e">
            <v>#N/A</v>
          </cell>
          <cell r="H1128" t="str">
            <v>Environmental</v>
          </cell>
          <cell r="I1128" t="str">
            <v>Wildtype</v>
          </cell>
          <cell r="J1128">
            <v>1</v>
          </cell>
          <cell r="K1128">
            <v>4</v>
          </cell>
        </row>
        <row r="1129">
          <cell r="A1129" t="str">
            <v>E585</v>
          </cell>
          <cell r="B1129">
            <v>33.903300000000002</v>
          </cell>
          <cell r="C1129">
            <v>-83.373900000000006</v>
          </cell>
          <cell r="D1129">
            <v>2017</v>
          </cell>
          <cell r="E1129" t="str">
            <v>USA</v>
          </cell>
          <cell r="F1129" t="str">
            <v>Wildtype</v>
          </cell>
          <cell r="G1129" t="e">
            <v>#N/A</v>
          </cell>
          <cell r="H1129" t="str">
            <v>Environmental</v>
          </cell>
          <cell r="I1129" t="str">
            <v>Wildtype</v>
          </cell>
          <cell r="J1129">
            <v>0.5</v>
          </cell>
          <cell r="K1129">
            <v>4</v>
          </cell>
        </row>
        <row r="1130">
          <cell r="A1130" t="str">
            <v>E586</v>
          </cell>
          <cell r="B1130">
            <v>33.903300000000002</v>
          </cell>
          <cell r="C1130">
            <v>-83.373900000000006</v>
          </cell>
          <cell r="D1130">
            <v>2017</v>
          </cell>
          <cell r="E1130" t="str">
            <v>USA</v>
          </cell>
          <cell r="F1130" t="str">
            <v>TR46/Y121F/T289A</v>
          </cell>
          <cell r="G1130" t="e">
            <v>#N/A</v>
          </cell>
          <cell r="H1130" t="str">
            <v>Environmental</v>
          </cell>
          <cell r="I1130" t="str">
            <v>F219Y</v>
          </cell>
          <cell r="J1130">
            <v>1.5</v>
          </cell>
          <cell r="K1130">
            <v>3</v>
          </cell>
        </row>
        <row r="1131">
          <cell r="A1131" t="str">
            <v>E587</v>
          </cell>
          <cell r="B1131">
            <v>33.903300000000002</v>
          </cell>
          <cell r="C1131">
            <v>-83.373900000000006</v>
          </cell>
          <cell r="D1131">
            <v>2017</v>
          </cell>
          <cell r="E1131" t="str">
            <v>USA</v>
          </cell>
          <cell r="F1131" t="str">
            <v>TR46/Y121F/T289A</v>
          </cell>
          <cell r="G1131" t="e">
            <v>#N/A</v>
          </cell>
          <cell r="H1131" t="str">
            <v>Environmental</v>
          </cell>
          <cell r="I1131" t="str">
            <v>F219Y</v>
          </cell>
          <cell r="J1131">
            <v>1.5</v>
          </cell>
          <cell r="K1131">
            <v>4</v>
          </cell>
        </row>
        <row r="1132">
          <cell r="A1132" t="str">
            <v>E588</v>
          </cell>
          <cell r="B1132">
            <v>33.903300000000002</v>
          </cell>
          <cell r="C1132">
            <v>-83.373900000000006</v>
          </cell>
          <cell r="D1132">
            <v>2017</v>
          </cell>
          <cell r="E1132" t="str">
            <v>USA</v>
          </cell>
          <cell r="F1132" t="str">
            <v>Wildtype</v>
          </cell>
          <cell r="G1132" t="e">
            <v>#N/A</v>
          </cell>
          <cell r="H1132" t="str">
            <v>Environmental</v>
          </cell>
          <cell r="I1132" t="str">
            <v>Wildtype</v>
          </cell>
          <cell r="J1132">
            <v>0.5</v>
          </cell>
          <cell r="K1132">
            <v>5</v>
          </cell>
        </row>
        <row r="1133">
          <cell r="A1133" t="str">
            <v>E589</v>
          </cell>
          <cell r="B1133">
            <v>33.903300000000002</v>
          </cell>
          <cell r="C1133">
            <v>-83.373900000000006</v>
          </cell>
          <cell r="D1133">
            <v>2017</v>
          </cell>
          <cell r="E1133" t="str">
            <v>USA</v>
          </cell>
          <cell r="F1133" t="str">
            <v>Wildtype</v>
          </cell>
          <cell r="G1133" t="e">
            <v>#N/A</v>
          </cell>
          <cell r="H1133" t="str">
            <v>Environmental</v>
          </cell>
          <cell r="I1133" t="str">
            <v>Wildtype</v>
          </cell>
          <cell r="J1133">
            <v>1</v>
          </cell>
          <cell r="K1133">
            <v>4</v>
          </cell>
        </row>
        <row r="1134">
          <cell r="A1134" t="str">
            <v>E59</v>
          </cell>
          <cell r="B1134">
            <v>50.450099999999999</v>
          </cell>
          <cell r="C1134">
            <v>30.523399999999999</v>
          </cell>
          <cell r="D1134">
            <v>1967</v>
          </cell>
          <cell r="E1134" t="str">
            <v>Ukraine</v>
          </cell>
          <cell r="F1134" t="str">
            <v>Wildtype</v>
          </cell>
          <cell r="G1134" t="str">
            <v>MAT1-2</v>
          </cell>
          <cell r="H1134" t="str">
            <v>Environmental</v>
          </cell>
          <cell r="I1134" t="str">
            <v>Wildtype</v>
          </cell>
          <cell r="K1134">
            <v>3</v>
          </cell>
        </row>
        <row r="1135">
          <cell r="A1135" t="str">
            <v>E590</v>
          </cell>
          <cell r="B1135">
            <v>33.903300000000002</v>
          </cell>
          <cell r="C1135">
            <v>-83.373900000000006</v>
          </cell>
          <cell r="D1135">
            <v>2017</v>
          </cell>
          <cell r="E1135" t="str">
            <v>USA</v>
          </cell>
          <cell r="F1135" t="str">
            <v>TR46/Y121F/T289A</v>
          </cell>
          <cell r="G1135" t="e">
            <v>#N/A</v>
          </cell>
          <cell r="H1135" t="str">
            <v>Environmental</v>
          </cell>
          <cell r="I1135" t="str">
            <v>Wildtype</v>
          </cell>
          <cell r="J1135">
            <v>2</v>
          </cell>
          <cell r="K1135">
            <v>3</v>
          </cell>
        </row>
        <row r="1136">
          <cell r="A1136" t="str">
            <v>E591</v>
          </cell>
          <cell r="B1136">
            <v>31.474599999999999</v>
          </cell>
          <cell r="C1136">
            <v>-83.373900000000006</v>
          </cell>
          <cell r="D1136">
            <v>2017</v>
          </cell>
          <cell r="E1136" t="str">
            <v>USA</v>
          </cell>
          <cell r="F1136" t="str">
            <v>Wildtype</v>
          </cell>
          <cell r="G1136" t="e">
            <v>#N/A</v>
          </cell>
          <cell r="H1136" t="str">
            <v>Environmental</v>
          </cell>
          <cell r="I1136" t="str">
            <v>F219Y</v>
          </cell>
          <cell r="J1136">
            <v>0.75</v>
          </cell>
          <cell r="K1136">
            <v>4</v>
          </cell>
        </row>
        <row r="1137">
          <cell r="A1137" t="str">
            <v>E593</v>
          </cell>
          <cell r="B1137">
            <v>31.967199999999998</v>
          </cell>
          <cell r="C1137">
            <v>-83.783600000000007</v>
          </cell>
          <cell r="D1137">
            <v>2017</v>
          </cell>
          <cell r="E1137" t="str">
            <v>USA</v>
          </cell>
          <cell r="F1137" t="str">
            <v>Wildtype</v>
          </cell>
          <cell r="G1137" t="e">
            <v>#N/A</v>
          </cell>
          <cell r="H1137" t="str">
            <v>Environmental</v>
          </cell>
          <cell r="I1137" t="str">
            <v>Wildtype</v>
          </cell>
          <cell r="J1137">
            <v>1</v>
          </cell>
          <cell r="K1137">
            <v>4</v>
          </cell>
        </row>
        <row r="1138">
          <cell r="A1138" t="str">
            <v>E594</v>
          </cell>
          <cell r="B1138">
            <v>31.474599999999999</v>
          </cell>
          <cell r="C1138">
            <v>-83.373900000000006</v>
          </cell>
          <cell r="D1138">
            <v>2017</v>
          </cell>
          <cell r="E1138" t="str">
            <v>USA</v>
          </cell>
          <cell r="F1138" t="str">
            <v>Wildtype</v>
          </cell>
          <cell r="G1138" t="e">
            <v>#N/A</v>
          </cell>
          <cell r="H1138" t="str">
            <v>Environmental</v>
          </cell>
          <cell r="I1138" t="str">
            <v>Wildtype</v>
          </cell>
          <cell r="J1138">
            <v>1</v>
          </cell>
          <cell r="K1138">
            <v>1</v>
          </cell>
        </row>
        <row r="1139">
          <cell r="A1139" t="str">
            <v>E595</v>
          </cell>
          <cell r="B1139">
            <v>31.474599999999999</v>
          </cell>
          <cell r="C1139">
            <v>-83.373900000000006</v>
          </cell>
          <cell r="D1139">
            <v>2017</v>
          </cell>
          <cell r="E1139" t="str">
            <v>USA</v>
          </cell>
          <cell r="F1139" t="str">
            <v>TR46</v>
          </cell>
          <cell r="G1139" t="e">
            <v>#N/A</v>
          </cell>
          <cell r="H1139" t="str">
            <v>Environmental</v>
          </cell>
          <cell r="I1139" t="str">
            <v>Wildtype</v>
          </cell>
          <cell r="J1139">
            <v>1</v>
          </cell>
          <cell r="K1139">
            <v>4</v>
          </cell>
        </row>
        <row r="1140">
          <cell r="A1140" t="str">
            <v>E596</v>
          </cell>
          <cell r="B1140">
            <v>31.474599999999999</v>
          </cell>
          <cell r="C1140">
            <v>-83.373900000000006</v>
          </cell>
          <cell r="D1140">
            <v>2017</v>
          </cell>
          <cell r="E1140" t="str">
            <v>USA</v>
          </cell>
          <cell r="F1140" t="str">
            <v>Wildtype</v>
          </cell>
          <cell r="G1140" t="e">
            <v>#N/A</v>
          </cell>
          <cell r="H1140" t="str">
            <v>Environmental</v>
          </cell>
          <cell r="I1140" t="str">
            <v>Wildtype</v>
          </cell>
          <cell r="J1140">
            <v>1</v>
          </cell>
          <cell r="K1140">
            <v>4</v>
          </cell>
        </row>
        <row r="1141">
          <cell r="A1141" t="str">
            <v>E597</v>
          </cell>
          <cell r="B1141">
            <v>31.474599999999999</v>
          </cell>
          <cell r="C1141">
            <v>-83.373900000000006</v>
          </cell>
          <cell r="D1141">
            <v>2017</v>
          </cell>
          <cell r="E1141" t="str">
            <v>USA</v>
          </cell>
          <cell r="F1141" t="str">
            <v>Wildtype</v>
          </cell>
          <cell r="G1141" t="e">
            <v>#N/A</v>
          </cell>
          <cell r="H1141" t="str">
            <v>Environmental</v>
          </cell>
          <cell r="I1141" t="str">
            <v>Wildtype</v>
          </cell>
          <cell r="J1141">
            <v>1</v>
          </cell>
          <cell r="K1141">
            <v>4</v>
          </cell>
        </row>
        <row r="1142">
          <cell r="A1142" t="str">
            <v>E598</v>
          </cell>
          <cell r="B1142">
            <v>31.474599999999999</v>
          </cell>
          <cell r="C1142">
            <v>-83.373900000000006</v>
          </cell>
          <cell r="D1142">
            <v>2017</v>
          </cell>
          <cell r="E1142" t="str">
            <v>USA</v>
          </cell>
          <cell r="F1142" t="str">
            <v>Wildtype</v>
          </cell>
          <cell r="G1142" t="e">
            <v>#N/A</v>
          </cell>
          <cell r="H1142" t="str">
            <v>Environmental</v>
          </cell>
          <cell r="I1142" t="str">
            <v>Wildtype</v>
          </cell>
          <cell r="J1142">
            <v>1</v>
          </cell>
          <cell r="K1142">
            <v>5</v>
          </cell>
        </row>
        <row r="1143">
          <cell r="A1143" t="str">
            <v>E599</v>
          </cell>
          <cell r="B1143">
            <v>31.474599999999999</v>
          </cell>
          <cell r="C1143">
            <v>-83.373900000000006</v>
          </cell>
          <cell r="D1143">
            <v>2017</v>
          </cell>
          <cell r="E1143" t="str">
            <v>USA</v>
          </cell>
          <cell r="F1143" t="str">
            <v>Wildtype</v>
          </cell>
          <cell r="G1143" t="e">
            <v>#N/A</v>
          </cell>
          <cell r="H1143" t="str">
            <v>Environmental</v>
          </cell>
          <cell r="I1143" t="str">
            <v>Wildtype</v>
          </cell>
          <cell r="J1143">
            <v>1</v>
          </cell>
          <cell r="K1143">
            <v>4</v>
          </cell>
        </row>
        <row r="1144">
          <cell r="A1144" t="str">
            <v>E6</v>
          </cell>
          <cell r="B1144">
            <v>25.096074000000002</v>
          </cell>
          <cell r="C1144">
            <v>85.313119</v>
          </cell>
          <cell r="D1144">
            <v>2011</v>
          </cell>
          <cell r="E1144" t="str">
            <v>India</v>
          </cell>
          <cell r="F1144" t="str">
            <v>TR34/L98H</v>
          </cell>
          <cell r="G1144" t="str">
            <v>MAT1-1</v>
          </cell>
          <cell r="H1144" t="str">
            <v>Environmental</v>
          </cell>
          <cell r="I1144" t="str">
            <v>F219Y</v>
          </cell>
          <cell r="J1144">
            <v>16</v>
          </cell>
          <cell r="K1144">
            <v>3</v>
          </cell>
        </row>
        <row r="1145">
          <cell r="A1145" t="str">
            <v>E60</v>
          </cell>
          <cell r="B1145">
            <v>26.846693999999999</v>
          </cell>
          <cell r="C1145">
            <v>80.946166000000005</v>
          </cell>
          <cell r="D1145">
            <v>1968</v>
          </cell>
          <cell r="E1145" t="str">
            <v>India</v>
          </cell>
          <cell r="F1145" t="str">
            <v>Wildtype</v>
          </cell>
          <cell r="G1145" t="str">
            <v>MAT1-2</v>
          </cell>
          <cell r="H1145" t="str">
            <v>Environmental</v>
          </cell>
          <cell r="I1145" t="str">
            <v>Wildtype</v>
          </cell>
          <cell r="K1145">
            <v>4</v>
          </cell>
        </row>
        <row r="1146">
          <cell r="A1146" t="str">
            <v>E600</v>
          </cell>
          <cell r="B1146">
            <v>31.474599999999999</v>
          </cell>
          <cell r="C1146">
            <v>-83.373900000000006</v>
          </cell>
          <cell r="D1146">
            <v>2017</v>
          </cell>
          <cell r="E1146" t="str">
            <v>USA</v>
          </cell>
          <cell r="F1146" t="str">
            <v>Wildtype</v>
          </cell>
          <cell r="G1146" t="e">
            <v>#N/A</v>
          </cell>
          <cell r="H1146" t="str">
            <v>Environmental</v>
          </cell>
          <cell r="I1146" t="str">
            <v>Wildtype</v>
          </cell>
          <cell r="J1146">
            <v>1</v>
          </cell>
          <cell r="K1146">
            <v>4</v>
          </cell>
        </row>
        <row r="1147">
          <cell r="A1147" t="str">
            <v>E601</v>
          </cell>
          <cell r="B1147">
            <v>31.474599999999999</v>
          </cell>
          <cell r="C1147">
            <v>-83.530799999999999</v>
          </cell>
          <cell r="D1147">
            <v>2017</v>
          </cell>
          <cell r="E1147" t="str">
            <v>USA</v>
          </cell>
          <cell r="F1147" t="str">
            <v>Wildtype</v>
          </cell>
          <cell r="G1147" t="e">
            <v>#N/A</v>
          </cell>
          <cell r="H1147" t="str">
            <v>Environmental</v>
          </cell>
          <cell r="I1147" t="str">
            <v>Wildtype</v>
          </cell>
          <cell r="J1147">
            <v>1</v>
          </cell>
          <cell r="K1147">
            <v>4</v>
          </cell>
        </row>
        <row r="1148">
          <cell r="A1148" t="str">
            <v>E602</v>
          </cell>
          <cell r="B1148">
            <v>31.474599999999999</v>
          </cell>
          <cell r="C1148">
            <v>-83.373900000000006</v>
          </cell>
          <cell r="D1148">
            <v>2017</v>
          </cell>
          <cell r="E1148" t="str">
            <v>USA</v>
          </cell>
          <cell r="F1148" t="str">
            <v>Wildtype</v>
          </cell>
          <cell r="G1148" t="e">
            <v>#N/A</v>
          </cell>
          <cell r="H1148" t="str">
            <v>Environmental</v>
          </cell>
          <cell r="I1148" t="str">
            <v>Wildtype</v>
          </cell>
          <cell r="J1148">
            <v>1</v>
          </cell>
          <cell r="K1148">
            <v>4</v>
          </cell>
        </row>
        <row r="1149">
          <cell r="A1149" t="str">
            <v>E603</v>
          </cell>
          <cell r="B1149">
            <v>31.474599999999999</v>
          </cell>
          <cell r="C1149">
            <v>-83.373900000000006</v>
          </cell>
          <cell r="D1149">
            <v>2017</v>
          </cell>
          <cell r="E1149" t="str">
            <v>USA</v>
          </cell>
          <cell r="F1149" t="str">
            <v>Wildtype</v>
          </cell>
          <cell r="G1149" t="e">
            <v>#N/A</v>
          </cell>
          <cell r="H1149" t="str">
            <v>Environmental</v>
          </cell>
          <cell r="I1149" t="str">
            <v>Wildtype</v>
          </cell>
          <cell r="J1149">
            <v>1</v>
          </cell>
          <cell r="K1149">
            <v>4</v>
          </cell>
        </row>
        <row r="1150">
          <cell r="A1150" t="str">
            <v>E604</v>
          </cell>
          <cell r="B1150">
            <v>31.967199999999998</v>
          </cell>
          <cell r="C1150">
            <v>-83.783600000000007</v>
          </cell>
          <cell r="D1150">
            <v>2017</v>
          </cell>
          <cell r="E1150" t="str">
            <v>USA</v>
          </cell>
          <cell r="F1150" t="str">
            <v>Wildtype</v>
          </cell>
          <cell r="G1150" t="e">
            <v>#N/A</v>
          </cell>
          <cell r="H1150" t="str">
            <v>Environmental</v>
          </cell>
          <cell r="I1150" t="str">
            <v>Wildtype</v>
          </cell>
          <cell r="J1150">
            <v>1</v>
          </cell>
          <cell r="K1150">
            <v>4</v>
          </cell>
        </row>
        <row r="1151">
          <cell r="A1151" t="str">
            <v>E606</v>
          </cell>
          <cell r="B1151">
            <v>31.967199999999998</v>
          </cell>
          <cell r="C1151">
            <v>-83.783600000000007</v>
          </cell>
          <cell r="D1151">
            <v>2017</v>
          </cell>
          <cell r="E1151" t="str">
            <v>USA</v>
          </cell>
          <cell r="F1151" t="str">
            <v>Wildtype</v>
          </cell>
          <cell r="G1151" t="e">
            <v>#N/A</v>
          </cell>
          <cell r="H1151" t="str">
            <v>Environmental</v>
          </cell>
          <cell r="I1151" t="str">
            <v>Wildtype</v>
          </cell>
          <cell r="J1151">
            <v>1</v>
          </cell>
          <cell r="K1151">
            <v>4</v>
          </cell>
        </row>
        <row r="1152">
          <cell r="A1152" t="str">
            <v>E607</v>
          </cell>
          <cell r="B1152">
            <v>31.967199999999998</v>
          </cell>
          <cell r="C1152">
            <v>-83.783600000000007</v>
          </cell>
          <cell r="D1152">
            <v>2017</v>
          </cell>
          <cell r="E1152" t="str">
            <v>USA</v>
          </cell>
          <cell r="F1152" t="str">
            <v>Wildtype</v>
          </cell>
          <cell r="G1152" t="e">
            <v>#N/A</v>
          </cell>
          <cell r="H1152" t="str">
            <v>Environmental</v>
          </cell>
          <cell r="I1152" t="str">
            <v>Wildtype</v>
          </cell>
          <cell r="J1152">
            <v>1</v>
          </cell>
          <cell r="K1152">
            <v>4</v>
          </cell>
        </row>
        <row r="1153">
          <cell r="A1153" t="str">
            <v>E608</v>
          </cell>
          <cell r="B1153">
            <v>31.967199999999998</v>
          </cell>
          <cell r="C1153">
            <v>-83.783600000000007</v>
          </cell>
          <cell r="D1153">
            <v>2017</v>
          </cell>
          <cell r="E1153" t="str">
            <v>USA</v>
          </cell>
          <cell r="F1153" t="str">
            <v>Wildtype</v>
          </cell>
          <cell r="G1153" t="e">
            <v>#N/A</v>
          </cell>
          <cell r="H1153" t="str">
            <v>Environmental</v>
          </cell>
          <cell r="I1153" t="str">
            <v>Wildtype</v>
          </cell>
          <cell r="J1153">
            <v>1</v>
          </cell>
          <cell r="K1153">
            <v>1</v>
          </cell>
        </row>
        <row r="1154">
          <cell r="A1154" t="str">
            <v>E609</v>
          </cell>
          <cell r="B1154">
            <v>31.967199999999998</v>
          </cell>
          <cell r="C1154">
            <v>-83.783600000000007</v>
          </cell>
          <cell r="D1154">
            <v>2017</v>
          </cell>
          <cell r="E1154" t="str">
            <v>USA</v>
          </cell>
          <cell r="F1154" t="str">
            <v>Wildtype</v>
          </cell>
          <cell r="G1154" t="e">
            <v>#N/A</v>
          </cell>
          <cell r="H1154" t="str">
            <v>Environmental</v>
          </cell>
          <cell r="I1154" t="str">
            <v>Wildtype</v>
          </cell>
          <cell r="J1154">
            <v>1</v>
          </cell>
          <cell r="K1154">
            <v>4</v>
          </cell>
        </row>
        <row r="1155">
          <cell r="A1155" t="str">
            <v>E61</v>
          </cell>
          <cell r="B1155">
            <v>26.846693999999999</v>
          </cell>
          <cell r="C1155">
            <v>80.946166000000005</v>
          </cell>
          <cell r="D1155">
            <v>1967</v>
          </cell>
          <cell r="E1155" t="str">
            <v>India</v>
          </cell>
          <cell r="F1155" t="str">
            <v>Wildtype</v>
          </cell>
          <cell r="G1155" t="str">
            <v>MAT1-1</v>
          </cell>
          <cell r="H1155" t="str">
            <v>Environmental</v>
          </cell>
          <cell r="I1155" t="str">
            <v>Wildtype</v>
          </cell>
          <cell r="K1155">
            <v>1</v>
          </cell>
        </row>
        <row r="1156">
          <cell r="A1156" t="str">
            <v>E610</v>
          </cell>
          <cell r="B1156">
            <v>31.967199999999998</v>
          </cell>
          <cell r="C1156">
            <v>-83.783600000000007</v>
          </cell>
          <cell r="D1156">
            <v>2017</v>
          </cell>
          <cell r="E1156" t="str">
            <v>USA</v>
          </cell>
          <cell r="F1156" t="str">
            <v>Wildtype</v>
          </cell>
          <cell r="G1156" t="e">
            <v>#N/A</v>
          </cell>
          <cell r="H1156" t="str">
            <v>Environmental</v>
          </cell>
          <cell r="I1156" t="str">
            <v>Wildtype</v>
          </cell>
          <cell r="J1156">
            <v>1</v>
          </cell>
          <cell r="K1156">
            <v>4</v>
          </cell>
        </row>
        <row r="1157">
          <cell r="A1157" t="str">
            <v>E611</v>
          </cell>
          <cell r="B1157">
            <v>31.967199999999998</v>
          </cell>
          <cell r="C1157">
            <v>-83.783600000000007</v>
          </cell>
          <cell r="D1157">
            <v>2017</v>
          </cell>
          <cell r="E1157" t="str">
            <v>USA</v>
          </cell>
          <cell r="F1157" t="str">
            <v>Wildtype</v>
          </cell>
          <cell r="G1157" t="e">
            <v>#N/A</v>
          </cell>
          <cell r="H1157" t="str">
            <v>Environmental</v>
          </cell>
          <cell r="I1157" t="str">
            <v>Wildtype</v>
          </cell>
          <cell r="J1157">
            <v>0.75</v>
          </cell>
          <cell r="K1157">
            <v>4</v>
          </cell>
        </row>
        <row r="1158">
          <cell r="A1158" t="str">
            <v>E612</v>
          </cell>
          <cell r="B1158">
            <v>31.474599999999999</v>
          </cell>
          <cell r="C1158">
            <v>-83.530799999999999</v>
          </cell>
          <cell r="D1158">
            <v>2017</v>
          </cell>
          <cell r="E1158" t="str">
            <v>USA</v>
          </cell>
          <cell r="F1158" t="str">
            <v>Wildtype</v>
          </cell>
          <cell r="G1158" t="e">
            <v>#N/A</v>
          </cell>
          <cell r="H1158" t="str">
            <v>Environmental</v>
          </cell>
          <cell r="I1158" t="str">
            <v>Wildtype</v>
          </cell>
          <cell r="J1158">
            <v>1</v>
          </cell>
          <cell r="K1158">
            <v>4</v>
          </cell>
        </row>
        <row r="1159">
          <cell r="A1159" t="str">
            <v>E613</v>
          </cell>
          <cell r="B1159">
            <v>31.967199999999998</v>
          </cell>
          <cell r="C1159">
            <v>-83.783600000000007</v>
          </cell>
          <cell r="D1159">
            <v>2017</v>
          </cell>
          <cell r="E1159" t="str">
            <v>USA</v>
          </cell>
          <cell r="F1159" t="str">
            <v>Wildtype</v>
          </cell>
          <cell r="G1159" t="e">
            <v>#N/A</v>
          </cell>
          <cell r="H1159" t="str">
            <v>Environmental</v>
          </cell>
          <cell r="I1159" t="str">
            <v>Wildtype</v>
          </cell>
          <cell r="J1159">
            <v>1</v>
          </cell>
          <cell r="K1159">
            <v>4</v>
          </cell>
        </row>
        <row r="1160">
          <cell r="A1160" t="str">
            <v>E614</v>
          </cell>
          <cell r="B1160">
            <v>31.967199999999998</v>
          </cell>
          <cell r="C1160">
            <v>-83.783600000000007</v>
          </cell>
          <cell r="D1160">
            <v>2017</v>
          </cell>
          <cell r="E1160" t="str">
            <v>USA</v>
          </cell>
          <cell r="F1160" t="str">
            <v>Wildtype</v>
          </cell>
          <cell r="G1160" t="e">
            <v>#N/A</v>
          </cell>
          <cell r="H1160" t="str">
            <v>Environmental</v>
          </cell>
          <cell r="I1160" t="str">
            <v>Wildtype</v>
          </cell>
          <cell r="J1160">
            <v>1</v>
          </cell>
          <cell r="K1160">
            <v>3</v>
          </cell>
        </row>
        <row r="1161">
          <cell r="A1161" t="str">
            <v>E615</v>
          </cell>
          <cell r="B1161">
            <v>31.967199999999998</v>
          </cell>
          <cell r="C1161">
            <v>-83.783600000000007</v>
          </cell>
          <cell r="D1161">
            <v>2017</v>
          </cell>
          <cell r="E1161" t="str">
            <v>USA</v>
          </cell>
          <cell r="F1161" t="str">
            <v>Wildtype</v>
          </cell>
          <cell r="G1161" t="e">
            <v>#N/A</v>
          </cell>
          <cell r="H1161" t="str">
            <v>Environmental</v>
          </cell>
          <cell r="I1161" t="str">
            <v>Wildtype</v>
          </cell>
          <cell r="J1161">
            <v>1</v>
          </cell>
          <cell r="K1161">
            <v>4</v>
          </cell>
        </row>
        <row r="1162">
          <cell r="A1162" t="str">
            <v>E616</v>
          </cell>
          <cell r="B1162">
            <v>31.967199999999998</v>
          </cell>
          <cell r="C1162">
            <v>-83.783600000000007</v>
          </cell>
          <cell r="D1162">
            <v>2017</v>
          </cell>
          <cell r="E1162" t="str">
            <v>USA</v>
          </cell>
          <cell r="F1162" t="str">
            <v>Wildtype</v>
          </cell>
          <cell r="G1162" t="e">
            <v>#N/A</v>
          </cell>
          <cell r="H1162" t="str">
            <v>Environmental</v>
          </cell>
          <cell r="I1162" t="str">
            <v>Wildtype</v>
          </cell>
          <cell r="J1162">
            <v>1</v>
          </cell>
          <cell r="K1162">
            <v>4</v>
          </cell>
        </row>
        <row r="1163">
          <cell r="A1163" t="str">
            <v>E617</v>
          </cell>
          <cell r="B1163">
            <v>31.967199999999998</v>
          </cell>
          <cell r="C1163">
            <v>-83.783600000000007</v>
          </cell>
          <cell r="D1163">
            <v>2017</v>
          </cell>
          <cell r="E1163" t="str">
            <v>USA</v>
          </cell>
          <cell r="F1163" t="str">
            <v>Wildtype</v>
          </cell>
          <cell r="G1163" t="e">
            <v>#N/A</v>
          </cell>
          <cell r="H1163" t="str">
            <v>Environmental</v>
          </cell>
          <cell r="I1163" t="str">
            <v>Wildtype</v>
          </cell>
          <cell r="J1163">
            <v>1</v>
          </cell>
          <cell r="K1163">
            <v>4</v>
          </cell>
        </row>
        <row r="1164">
          <cell r="A1164" t="str">
            <v>E618</v>
          </cell>
          <cell r="B1164">
            <v>31.967199999999998</v>
          </cell>
          <cell r="C1164">
            <v>-83.783600000000007</v>
          </cell>
          <cell r="D1164">
            <v>2017</v>
          </cell>
          <cell r="E1164" t="str">
            <v>USA</v>
          </cell>
          <cell r="F1164" t="str">
            <v>Wildtype</v>
          </cell>
          <cell r="G1164" t="e">
            <v>#N/A</v>
          </cell>
          <cell r="H1164" t="str">
            <v>Environmental</v>
          </cell>
          <cell r="I1164" t="str">
            <v>Wildtype</v>
          </cell>
          <cell r="J1164">
            <v>1</v>
          </cell>
          <cell r="K1164">
            <v>4</v>
          </cell>
        </row>
        <row r="1165">
          <cell r="A1165" t="str">
            <v>E62</v>
          </cell>
          <cell r="B1165">
            <v>52.208770000000001</v>
          </cell>
          <cell r="C1165">
            <v>5.2994120000000002</v>
          </cell>
          <cell r="D1165">
            <v>1964</v>
          </cell>
          <cell r="E1165" t="str">
            <v>Netherlands</v>
          </cell>
          <cell r="F1165" t="str">
            <v>Wildtype</v>
          </cell>
          <cell r="G1165" t="str">
            <v>MAT1-2</v>
          </cell>
          <cell r="H1165" t="str">
            <v>Environmental</v>
          </cell>
          <cell r="I1165" t="str">
            <v>Wildtype</v>
          </cell>
          <cell r="K1165">
            <v>3</v>
          </cell>
        </row>
        <row r="1166">
          <cell r="A1166" t="str">
            <v>E620</v>
          </cell>
          <cell r="B1166">
            <v>31.967199999999998</v>
          </cell>
          <cell r="C1166">
            <v>-83.783600000000007</v>
          </cell>
          <cell r="D1166">
            <v>2017</v>
          </cell>
          <cell r="E1166" t="str">
            <v>USA</v>
          </cell>
          <cell r="F1166" t="str">
            <v>Wildtype</v>
          </cell>
          <cell r="G1166" t="e">
            <v>#N/A</v>
          </cell>
          <cell r="H1166" t="str">
            <v>Environmental</v>
          </cell>
          <cell r="I1166" t="str">
            <v>Wildtype</v>
          </cell>
          <cell r="J1166">
            <v>1</v>
          </cell>
          <cell r="K1166">
            <v>4</v>
          </cell>
        </row>
        <row r="1167">
          <cell r="A1167" t="str">
            <v>E621</v>
          </cell>
          <cell r="B1167">
            <v>34.878599999999999</v>
          </cell>
          <cell r="C1167">
            <v>-83.955500000000001</v>
          </cell>
          <cell r="D1167">
            <v>2017</v>
          </cell>
          <cell r="E1167" t="str">
            <v>USA</v>
          </cell>
          <cell r="F1167" t="str">
            <v>Wildtype</v>
          </cell>
          <cell r="G1167" t="e">
            <v>#N/A</v>
          </cell>
          <cell r="H1167" t="str">
            <v>Environmental</v>
          </cell>
          <cell r="I1167" t="str">
            <v>Wildtype</v>
          </cell>
          <cell r="J1167">
            <v>1</v>
          </cell>
          <cell r="K1167">
            <v>5</v>
          </cell>
        </row>
        <row r="1168">
          <cell r="A1168" t="str">
            <v>E622</v>
          </cell>
          <cell r="B1168">
            <v>34.878599999999999</v>
          </cell>
          <cell r="C1168">
            <v>-83.955500000000001</v>
          </cell>
          <cell r="D1168">
            <v>2017</v>
          </cell>
          <cell r="E1168" t="str">
            <v>USA</v>
          </cell>
          <cell r="F1168" t="str">
            <v>Wildtype</v>
          </cell>
          <cell r="G1168" t="e">
            <v>#N/A</v>
          </cell>
          <cell r="H1168" t="str">
            <v>Environmental</v>
          </cell>
          <cell r="I1168" t="str">
            <v>Wildtype</v>
          </cell>
          <cell r="J1168">
            <v>1.5</v>
          </cell>
          <cell r="K1168">
            <v>5</v>
          </cell>
        </row>
        <row r="1169">
          <cell r="A1169" t="str">
            <v>E623</v>
          </cell>
          <cell r="B1169">
            <v>34.878599999999999</v>
          </cell>
          <cell r="C1169">
            <v>-83.955500000000001</v>
          </cell>
          <cell r="D1169">
            <v>2017</v>
          </cell>
          <cell r="E1169" t="str">
            <v>USA</v>
          </cell>
          <cell r="F1169" t="str">
            <v>Wildtype</v>
          </cell>
          <cell r="G1169" t="e">
            <v>#N/A</v>
          </cell>
          <cell r="H1169" t="str">
            <v>Environmental</v>
          </cell>
          <cell r="I1169" t="str">
            <v>Wildtype</v>
          </cell>
          <cell r="J1169">
            <v>1</v>
          </cell>
          <cell r="K1169">
            <v>5</v>
          </cell>
        </row>
        <row r="1170">
          <cell r="A1170" t="str">
            <v>E624</v>
          </cell>
          <cell r="B1170">
            <v>34.878599999999999</v>
          </cell>
          <cell r="C1170">
            <v>-83.955500000000001</v>
          </cell>
          <cell r="D1170">
            <v>2017</v>
          </cell>
          <cell r="E1170" t="str">
            <v>USA</v>
          </cell>
          <cell r="F1170" t="str">
            <v>Wildtype</v>
          </cell>
          <cell r="G1170" t="e">
            <v>#N/A</v>
          </cell>
          <cell r="H1170" t="str">
            <v>Environmental</v>
          </cell>
          <cell r="I1170" t="str">
            <v>Wildtype</v>
          </cell>
          <cell r="J1170">
            <v>1</v>
          </cell>
          <cell r="K1170">
            <v>5</v>
          </cell>
        </row>
        <row r="1171">
          <cell r="A1171" t="str">
            <v>E625</v>
          </cell>
          <cell r="B1171">
            <v>34.878599999999999</v>
          </cell>
          <cell r="C1171">
            <v>-83.955500000000001</v>
          </cell>
          <cell r="D1171">
            <v>2017</v>
          </cell>
          <cell r="E1171" t="str">
            <v>USA</v>
          </cell>
          <cell r="F1171" t="str">
            <v>Wildtype</v>
          </cell>
          <cell r="G1171" t="e">
            <v>#N/A</v>
          </cell>
          <cell r="H1171" t="str">
            <v>Environmental</v>
          </cell>
          <cell r="I1171" t="str">
            <v>Wildtype</v>
          </cell>
          <cell r="J1171">
            <v>1</v>
          </cell>
          <cell r="K1171">
            <v>4</v>
          </cell>
        </row>
        <row r="1172">
          <cell r="A1172" t="str">
            <v>E626</v>
          </cell>
          <cell r="B1172">
            <v>31.967199999999998</v>
          </cell>
          <cell r="C1172">
            <v>-83.783600000000007</v>
          </cell>
          <cell r="D1172">
            <v>2017</v>
          </cell>
          <cell r="E1172" t="str">
            <v>USA</v>
          </cell>
          <cell r="F1172" t="str">
            <v>Wildtype</v>
          </cell>
          <cell r="G1172" t="e">
            <v>#N/A</v>
          </cell>
          <cell r="H1172" t="str">
            <v>Environmental</v>
          </cell>
          <cell r="I1172" t="str">
            <v>Wildtype</v>
          </cell>
          <cell r="J1172">
            <v>1</v>
          </cell>
          <cell r="K1172">
            <v>4</v>
          </cell>
        </row>
        <row r="1173">
          <cell r="A1173" t="str">
            <v>E627</v>
          </cell>
          <cell r="B1173">
            <v>31.967199999999998</v>
          </cell>
          <cell r="C1173">
            <v>-83.783600000000007</v>
          </cell>
          <cell r="D1173">
            <v>2017</v>
          </cell>
          <cell r="E1173" t="str">
            <v>USA</v>
          </cell>
          <cell r="F1173" t="str">
            <v>Wildtype</v>
          </cell>
          <cell r="G1173" t="e">
            <v>#N/A</v>
          </cell>
          <cell r="H1173" t="str">
            <v>Environmental</v>
          </cell>
          <cell r="I1173" t="str">
            <v>Wildtype</v>
          </cell>
          <cell r="J1173">
            <v>1</v>
          </cell>
          <cell r="K1173">
            <v>1</v>
          </cell>
        </row>
        <row r="1174">
          <cell r="A1174" t="str">
            <v>E63</v>
          </cell>
          <cell r="B1174">
            <v>52.208770000000001</v>
          </cell>
          <cell r="C1174">
            <v>5.2994120000000002</v>
          </cell>
          <cell r="D1174">
            <v>1964</v>
          </cell>
          <cell r="E1174" t="str">
            <v>Netherlands</v>
          </cell>
          <cell r="F1174" t="str">
            <v>Wildtype</v>
          </cell>
          <cell r="G1174" t="str">
            <v>MAT1-2</v>
          </cell>
          <cell r="H1174" t="str">
            <v>Environmental</v>
          </cell>
          <cell r="I1174" t="str">
            <v>Wildtype</v>
          </cell>
          <cell r="K1174">
            <v>3</v>
          </cell>
        </row>
        <row r="1175">
          <cell r="A1175" t="str">
            <v>E64</v>
          </cell>
          <cell r="B1175">
            <v>52.208770000000001</v>
          </cell>
          <cell r="C1175">
            <v>5.2994120000000002</v>
          </cell>
          <cell r="D1175">
            <v>1964</v>
          </cell>
          <cell r="E1175" t="str">
            <v>Netherlands</v>
          </cell>
          <cell r="F1175" t="str">
            <v>Wildtype</v>
          </cell>
          <cell r="G1175" t="str">
            <v>MAT1-2</v>
          </cell>
          <cell r="H1175" t="str">
            <v>Environmental</v>
          </cell>
          <cell r="I1175" t="str">
            <v>Wildtype</v>
          </cell>
          <cell r="K1175">
            <v>3</v>
          </cell>
        </row>
        <row r="1176">
          <cell r="A1176" t="str">
            <v>E65</v>
          </cell>
          <cell r="B1176">
            <v>52.208770000000001</v>
          </cell>
          <cell r="C1176">
            <v>5.2994120000000002</v>
          </cell>
          <cell r="D1176">
            <v>1964</v>
          </cell>
          <cell r="E1176" t="str">
            <v>Netherlands</v>
          </cell>
          <cell r="F1176" t="str">
            <v>Wildtype</v>
          </cell>
          <cell r="G1176" t="str">
            <v>MAT1-1</v>
          </cell>
          <cell r="H1176" t="str">
            <v>Environmental</v>
          </cell>
          <cell r="I1176" t="str">
            <v>Wildtype</v>
          </cell>
          <cell r="K1176">
            <v>3</v>
          </cell>
        </row>
        <row r="1177">
          <cell r="A1177" t="str">
            <v>E66</v>
          </cell>
          <cell r="B1177">
            <v>52.208770000000001</v>
          </cell>
          <cell r="C1177">
            <v>5.2994120000000002</v>
          </cell>
          <cell r="D1177">
            <v>1964</v>
          </cell>
          <cell r="E1177" t="str">
            <v>Netherlands</v>
          </cell>
          <cell r="F1177" t="str">
            <v>Wildtype</v>
          </cell>
          <cell r="G1177" t="str">
            <v>MAT1-2</v>
          </cell>
          <cell r="H1177" t="str">
            <v>Environmental</v>
          </cell>
          <cell r="I1177" t="str">
            <v>Wildtype</v>
          </cell>
          <cell r="K1177">
            <v>3</v>
          </cell>
        </row>
        <row r="1178">
          <cell r="A1178" t="str">
            <v>E67</v>
          </cell>
          <cell r="B1178">
            <v>52.208770000000001</v>
          </cell>
          <cell r="C1178">
            <v>5.2994120000000002</v>
          </cell>
          <cell r="D1178">
            <v>1964</v>
          </cell>
          <cell r="E1178" t="str">
            <v>Netherlands</v>
          </cell>
          <cell r="F1178" t="str">
            <v>Wildtype</v>
          </cell>
          <cell r="G1178" t="str">
            <v>MAT1-2</v>
          </cell>
          <cell r="H1178" t="str">
            <v>Environmental</v>
          </cell>
          <cell r="I1178" t="str">
            <v>Wildtype</v>
          </cell>
          <cell r="K1178">
            <v>1</v>
          </cell>
        </row>
        <row r="1179">
          <cell r="A1179" t="str">
            <v>E68</v>
          </cell>
          <cell r="B1179">
            <v>52.215859000000002</v>
          </cell>
          <cell r="C1179">
            <v>5.2533599999999998</v>
          </cell>
          <cell r="D1179">
            <v>1964</v>
          </cell>
          <cell r="E1179" t="str">
            <v>Netherlands</v>
          </cell>
          <cell r="F1179" t="str">
            <v>Wildtype</v>
          </cell>
          <cell r="G1179" t="str">
            <v>MAT1-1</v>
          </cell>
          <cell r="H1179" t="str">
            <v>Environmental</v>
          </cell>
          <cell r="I1179" t="str">
            <v>Wildtype</v>
          </cell>
          <cell r="K1179">
            <v>3</v>
          </cell>
        </row>
        <row r="1180">
          <cell r="A1180" t="str">
            <v>E69</v>
          </cell>
          <cell r="B1180">
            <v>52.213385000000002</v>
          </cell>
          <cell r="C1180">
            <v>5.2635189999999996</v>
          </cell>
          <cell r="D1180">
            <v>1964</v>
          </cell>
          <cell r="E1180" t="str">
            <v>Netherlands</v>
          </cell>
          <cell r="F1180" t="str">
            <v>Wildtype</v>
          </cell>
          <cell r="G1180" t="str">
            <v>MAT1-2</v>
          </cell>
          <cell r="H1180" t="str">
            <v>Environmental</v>
          </cell>
          <cell r="I1180" t="str">
            <v>Wildtype</v>
          </cell>
          <cell r="K1180">
            <v>3</v>
          </cell>
        </row>
        <row r="1181">
          <cell r="A1181" t="str">
            <v>E7</v>
          </cell>
          <cell r="B1181">
            <v>25.096074000000002</v>
          </cell>
          <cell r="C1181">
            <v>85.313119</v>
          </cell>
          <cell r="D1181">
            <v>2011</v>
          </cell>
          <cell r="E1181" t="str">
            <v>India</v>
          </cell>
          <cell r="F1181" t="str">
            <v>TR34/L98H</v>
          </cell>
          <cell r="G1181" t="str">
            <v>MAT1-1</v>
          </cell>
          <cell r="H1181" t="str">
            <v>Environmental</v>
          </cell>
          <cell r="I1181" t="str">
            <v>F219Y</v>
          </cell>
          <cell r="J1181" t="str">
            <v>&gt;16</v>
          </cell>
          <cell r="K1181">
            <v>3</v>
          </cell>
        </row>
        <row r="1182">
          <cell r="A1182" t="str">
            <v>E70</v>
          </cell>
          <cell r="B1182">
            <v>52.213385000000002</v>
          </cell>
          <cell r="C1182">
            <v>5.2635189999999996</v>
          </cell>
          <cell r="D1182">
            <v>1964</v>
          </cell>
          <cell r="E1182" t="str">
            <v>Netherlands</v>
          </cell>
          <cell r="F1182" t="str">
            <v>Wildtype</v>
          </cell>
          <cell r="G1182" t="str">
            <v>MAT1-1</v>
          </cell>
          <cell r="H1182" t="str">
            <v>Environmental</v>
          </cell>
          <cell r="I1182" t="str">
            <v>Wildtype</v>
          </cell>
          <cell r="K1182">
            <v>4</v>
          </cell>
        </row>
        <row r="1183">
          <cell r="A1183" t="str">
            <v>E71</v>
          </cell>
          <cell r="B1183">
            <v>52.215859000000002</v>
          </cell>
          <cell r="C1183">
            <v>5.2533599999999998</v>
          </cell>
          <cell r="D1183">
            <v>1964</v>
          </cell>
          <cell r="E1183" t="str">
            <v>Netherlands</v>
          </cell>
          <cell r="F1183" t="str">
            <v>Wildtype</v>
          </cell>
          <cell r="G1183" t="str">
            <v>MAT1-2</v>
          </cell>
          <cell r="H1183" t="str">
            <v>Environmental</v>
          </cell>
          <cell r="I1183" t="str">
            <v>Wildtype</v>
          </cell>
          <cell r="K1183">
            <v>3</v>
          </cell>
        </row>
        <row r="1184">
          <cell r="A1184" t="str">
            <v>E72</v>
          </cell>
          <cell r="B1184">
            <v>52.208770000000001</v>
          </cell>
          <cell r="C1184">
            <v>5.2994120000000002</v>
          </cell>
          <cell r="D1184">
            <v>1964</v>
          </cell>
          <cell r="E1184" t="str">
            <v>Netherlands</v>
          </cell>
          <cell r="F1184" t="str">
            <v>Wildtype</v>
          </cell>
          <cell r="G1184" t="str">
            <v>MAT1-2</v>
          </cell>
          <cell r="H1184" t="str">
            <v>Environmental</v>
          </cell>
          <cell r="I1184" t="str">
            <v>Wildtype</v>
          </cell>
          <cell r="K1184">
            <v>3</v>
          </cell>
        </row>
        <row r="1185">
          <cell r="A1185" t="str">
            <v>E73</v>
          </cell>
          <cell r="B1185">
            <v>52.208770000000001</v>
          </cell>
          <cell r="C1185">
            <v>5.2994120000000002</v>
          </cell>
          <cell r="D1185">
            <v>1964</v>
          </cell>
          <cell r="E1185" t="str">
            <v>Netherlands</v>
          </cell>
          <cell r="F1185" t="str">
            <v>Wildtype</v>
          </cell>
          <cell r="G1185" t="str">
            <v>MAT1-1</v>
          </cell>
          <cell r="H1185" t="str">
            <v>Environmental</v>
          </cell>
          <cell r="I1185" t="str">
            <v>Wildtype</v>
          </cell>
          <cell r="K1185">
            <v>4</v>
          </cell>
        </row>
        <row r="1186">
          <cell r="A1186" t="str">
            <v>E74</v>
          </cell>
          <cell r="B1186">
            <v>46.227637999999999</v>
          </cell>
          <cell r="C1186">
            <v>2.213749</v>
          </cell>
          <cell r="D1186">
            <v>1964</v>
          </cell>
          <cell r="E1186" t="str">
            <v>France</v>
          </cell>
          <cell r="F1186" t="str">
            <v>Wildtype</v>
          </cell>
          <cell r="G1186" t="str">
            <v>MAT1-2</v>
          </cell>
          <cell r="H1186" t="str">
            <v>Environmental</v>
          </cell>
          <cell r="I1186" t="str">
            <v>Wildtype</v>
          </cell>
          <cell r="K1186">
            <v>3</v>
          </cell>
        </row>
        <row r="1187">
          <cell r="A1187" t="str">
            <v>E75</v>
          </cell>
          <cell r="B1187">
            <v>52.208770000000001</v>
          </cell>
          <cell r="C1187">
            <v>5.2994120000000002</v>
          </cell>
          <cell r="D1187">
            <v>1964</v>
          </cell>
          <cell r="E1187" t="str">
            <v>Netherlands</v>
          </cell>
          <cell r="F1187" t="str">
            <v>Wildtype</v>
          </cell>
          <cell r="G1187" t="str">
            <v>MAT1-2</v>
          </cell>
          <cell r="H1187" t="str">
            <v>Environmental</v>
          </cell>
          <cell r="I1187" t="str">
            <v>Wildtype</v>
          </cell>
          <cell r="K1187">
            <v>3</v>
          </cell>
        </row>
        <row r="1188">
          <cell r="A1188" t="str">
            <v>E76</v>
          </cell>
          <cell r="B1188">
            <v>52.209246</v>
          </cell>
          <cell r="C1188">
            <v>5.2931160000000004</v>
          </cell>
          <cell r="D1188">
            <v>1964</v>
          </cell>
          <cell r="E1188" t="str">
            <v>Netherlands</v>
          </cell>
          <cell r="F1188" t="str">
            <v>Wildtype</v>
          </cell>
          <cell r="G1188" t="str">
            <v>MAT1-1</v>
          </cell>
          <cell r="H1188" t="str">
            <v>Environmental</v>
          </cell>
          <cell r="I1188" t="str">
            <v>Wildtype</v>
          </cell>
          <cell r="K1188">
            <v>4</v>
          </cell>
        </row>
        <row r="1189">
          <cell r="A1189" t="str">
            <v>E77</v>
          </cell>
          <cell r="B1189">
            <v>52.208770000000001</v>
          </cell>
          <cell r="C1189">
            <v>5.2994120000000002</v>
          </cell>
          <cell r="D1189">
            <v>1964</v>
          </cell>
          <cell r="E1189" t="str">
            <v>Netherlands</v>
          </cell>
          <cell r="F1189" t="str">
            <v>Wildtype</v>
          </cell>
          <cell r="G1189" t="str">
            <v>MAT1-2</v>
          </cell>
          <cell r="H1189" t="str">
            <v>Environmental</v>
          </cell>
          <cell r="I1189" t="str">
            <v>Wildtype</v>
          </cell>
          <cell r="K1189">
            <v>3</v>
          </cell>
        </row>
        <row r="1190">
          <cell r="A1190" t="str">
            <v>E78</v>
          </cell>
          <cell r="B1190">
            <v>52.208770000000001</v>
          </cell>
          <cell r="C1190">
            <v>5.2994120000000002</v>
          </cell>
          <cell r="D1190">
            <v>1964</v>
          </cell>
          <cell r="E1190" t="str">
            <v>Netherlands</v>
          </cell>
          <cell r="F1190" t="str">
            <v>Wildtype</v>
          </cell>
          <cell r="G1190" t="str">
            <v>MAT1-2</v>
          </cell>
          <cell r="H1190" t="str">
            <v>Environmental</v>
          </cell>
          <cell r="I1190" t="str">
            <v>Wildtype</v>
          </cell>
          <cell r="K1190">
            <v>3</v>
          </cell>
        </row>
        <row r="1191">
          <cell r="A1191" t="str">
            <v>E79</v>
          </cell>
          <cell r="B1191">
            <v>37.441882999999997</v>
          </cell>
          <cell r="C1191">
            <v>-122.143019</v>
          </cell>
          <cell r="E1191" t="str">
            <v>USA</v>
          </cell>
          <cell r="F1191" t="str">
            <v>Wildtype</v>
          </cell>
          <cell r="G1191" t="str">
            <v>MAT1-1</v>
          </cell>
          <cell r="H1191" t="str">
            <v>Environmental</v>
          </cell>
          <cell r="I1191" t="str">
            <v>Wildtype</v>
          </cell>
          <cell r="K1191">
            <v>5</v>
          </cell>
        </row>
        <row r="1192">
          <cell r="A1192" t="str">
            <v>E8</v>
          </cell>
          <cell r="B1192">
            <v>28.690636999999999</v>
          </cell>
          <cell r="C1192">
            <v>77.209940000000003</v>
          </cell>
          <cell r="D1192">
            <v>2011</v>
          </cell>
          <cell r="E1192" t="str">
            <v>India</v>
          </cell>
          <cell r="F1192" t="str">
            <v>TR34/L98H</v>
          </cell>
          <cell r="G1192" t="str">
            <v>MAT1-1</v>
          </cell>
          <cell r="H1192" t="str">
            <v>Environmental</v>
          </cell>
          <cell r="I1192" t="str">
            <v>F219Y</v>
          </cell>
          <cell r="J1192" t="str">
            <v>&gt;16</v>
          </cell>
          <cell r="K1192">
            <v>1</v>
          </cell>
        </row>
        <row r="1193">
          <cell r="A1193" t="str">
            <v>E80</v>
          </cell>
          <cell r="B1193">
            <v>39.925946000000003</v>
          </cell>
          <cell r="C1193">
            <v>-75.119619999999998</v>
          </cell>
          <cell r="E1193" t="str">
            <v>USA</v>
          </cell>
          <cell r="F1193" t="str">
            <v>Wildtype</v>
          </cell>
          <cell r="G1193" t="str">
            <v>MAT1-2</v>
          </cell>
          <cell r="H1193" t="str">
            <v>Environmental</v>
          </cell>
          <cell r="I1193" t="str">
            <v>Wildtype</v>
          </cell>
          <cell r="K1193">
            <v>4</v>
          </cell>
        </row>
        <row r="1194">
          <cell r="A1194" t="str">
            <v>E81</v>
          </cell>
          <cell r="B1194">
            <v>53.349805000000003</v>
          </cell>
          <cell r="C1194">
            <v>-6.2603099999999996</v>
          </cell>
          <cell r="D1194">
            <v>2005</v>
          </cell>
          <cell r="E1194" t="str">
            <v>Republic of Ireland</v>
          </cell>
          <cell r="F1194" t="str">
            <v>Wildtype</v>
          </cell>
          <cell r="G1194" t="str">
            <v>MAT1-1</v>
          </cell>
          <cell r="H1194" t="str">
            <v>Environmental</v>
          </cell>
          <cell r="I1194" t="str">
            <v>Wildtype</v>
          </cell>
          <cell r="K1194">
            <v>3</v>
          </cell>
        </row>
        <row r="1195">
          <cell r="A1195" t="str">
            <v>E82</v>
          </cell>
          <cell r="B1195">
            <v>53.349805000000003</v>
          </cell>
          <cell r="C1195">
            <v>-6.2603099999999996</v>
          </cell>
          <cell r="D1195">
            <v>2005</v>
          </cell>
          <cell r="E1195" t="str">
            <v>Republic of Ireland</v>
          </cell>
          <cell r="F1195" t="str">
            <v>Wildtype</v>
          </cell>
          <cell r="G1195" t="str">
            <v>MAT1-2</v>
          </cell>
          <cell r="H1195" t="str">
            <v>Environmental</v>
          </cell>
          <cell r="I1195" t="str">
            <v>Wildtype</v>
          </cell>
          <cell r="K1195">
            <v>3</v>
          </cell>
        </row>
        <row r="1196">
          <cell r="A1196" t="str">
            <v>E83</v>
          </cell>
          <cell r="B1196">
            <v>53.349805000000003</v>
          </cell>
          <cell r="C1196">
            <v>-6.2603099999999996</v>
          </cell>
          <cell r="D1196">
            <v>2005</v>
          </cell>
          <cell r="E1196" t="str">
            <v>Republic of Ireland</v>
          </cell>
          <cell r="F1196" t="str">
            <v>Wildtype</v>
          </cell>
          <cell r="G1196" t="str">
            <v>MAT1-2</v>
          </cell>
          <cell r="H1196" t="str">
            <v>Environmental</v>
          </cell>
          <cell r="I1196" t="str">
            <v>Wildtype</v>
          </cell>
          <cell r="K1196">
            <v>5</v>
          </cell>
        </row>
        <row r="1197">
          <cell r="A1197" t="str">
            <v>E84</v>
          </cell>
          <cell r="B1197">
            <v>53.349805000000003</v>
          </cell>
          <cell r="C1197">
            <v>-6.2603099999999996</v>
          </cell>
          <cell r="D1197">
            <v>2005</v>
          </cell>
          <cell r="E1197" t="str">
            <v>Republic of Ireland</v>
          </cell>
          <cell r="F1197" t="str">
            <v>Wildtype</v>
          </cell>
          <cell r="G1197" t="str">
            <v>MAT1-1</v>
          </cell>
          <cell r="H1197" t="str">
            <v>Environmental</v>
          </cell>
          <cell r="I1197" t="str">
            <v>Wildtype</v>
          </cell>
          <cell r="K1197">
            <v>3</v>
          </cell>
        </row>
        <row r="1198">
          <cell r="A1198" t="str">
            <v>E85</v>
          </cell>
          <cell r="B1198">
            <v>43.722839</v>
          </cell>
          <cell r="C1198">
            <v>10.401688999999999</v>
          </cell>
          <cell r="D1198">
            <v>1982</v>
          </cell>
          <cell r="E1198" t="str">
            <v>Italy</v>
          </cell>
          <cell r="F1198" t="str">
            <v>Wildtype</v>
          </cell>
          <cell r="G1198" t="str">
            <v>MAT1-2</v>
          </cell>
          <cell r="H1198" t="str">
            <v>Environmental</v>
          </cell>
          <cell r="I1198" t="str">
            <v>Wildtype</v>
          </cell>
          <cell r="K1198">
            <v>3</v>
          </cell>
        </row>
        <row r="1199">
          <cell r="A1199" t="str">
            <v>E86</v>
          </cell>
          <cell r="B1199">
            <v>13.756330999999999</v>
          </cell>
          <cell r="C1199">
            <v>100.50176500000001</v>
          </cell>
          <cell r="D1199">
            <v>1983</v>
          </cell>
          <cell r="E1199" t="str">
            <v>Thailand</v>
          </cell>
          <cell r="F1199" t="str">
            <v>Wildtype</v>
          </cell>
          <cell r="G1199" t="str">
            <v>MAT1-2</v>
          </cell>
          <cell r="H1199" t="str">
            <v>Environmental</v>
          </cell>
          <cell r="I1199" t="str">
            <v>Wildtype</v>
          </cell>
          <cell r="K1199">
            <v>5</v>
          </cell>
        </row>
        <row r="1200">
          <cell r="A1200" t="str">
            <v>E87</v>
          </cell>
          <cell r="B1200">
            <v>47.497912999999997</v>
          </cell>
          <cell r="C1200">
            <v>19.040236</v>
          </cell>
          <cell r="D1200">
            <v>1983</v>
          </cell>
          <cell r="E1200" t="str">
            <v>Hungary</v>
          </cell>
          <cell r="F1200" t="str">
            <v>Wildtype</v>
          </cell>
          <cell r="G1200" t="e">
            <v>#N/A</v>
          </cell>
          <cell r="H1200" t="str">
            <v>Environmental</v>
          </cell>
          <cell r="I1200" t="str">
            <v>Wildtype</v>
          </cell>
          <cell r="K1200">
            <v>1</v>
          </cell>
        </row>
        <row r="1201">
          <cell r="A1201" t="str">
            <v>E88</v>
          </cell>
          <cell r="B1201">
            <v>37.774929</v>
          </cell>
          <cell r="C1201">
            <v>-122.419416</v>
          </cell>
          <cell r="D1201">
            <v>1988</v>
          </cell>
          <cell r="E1201" t="str">
            <v>USA</v>
          </cell>
          <cell r="F1201" t="str">
            <v>Wildtype</v>
          </cell>
          <cell r="G1201" t="str">
            <v>MAT1-2</v>
          </cell>
          <cell r="H1201" t="str">
            <v>Environmental</v>
          </cell>
          <cell r="I1201" t="str">
            <v>Wildtype</v>
          </cell>
          <cell r="K1201">
            <v>4</v>
          </cell>
        </row>
        <row r="1202">
          <cell r="A1202" t="str">
            <v>E89</v>
          </cell>
          <cell r="B1202">
            <v>36.852919999999997</v>
          </cell>
          <cell r="C1202">
            <v>10.321724</v>
          </cell>
          <cell r="D1202">
            <v>1983</v>
          </cell>
          <cell r="E1202" t="str">
            <v>Tunisia</v>
          </cell>
          <cell r="F1202" t="str">
            <v>Wildtype</v>
          </cell>
          <cell r="G1202" t="str">
            <v>MAT1-1</v>
          </cell>
          <cell r="H1202" t="str">
            <v>Environmental</v>
          </cell>
          <cell r="I1202" t="str">
            <v>Wildtype</v>
          </cell>
          <cell r="K1202">
            <v>4</v>
          </cell>
        </row>
        <row r="1203">
          <cell r="A1203" t="str">
            <v>E9</v>
          </cell>
          <cell r="B1203">
            <v>51.484577000000002</v>
          </cell>
          <cell r="C1203">
            <v>-3.1852520000000002</v>
          </cell>
          <cell r="D1203">
            <v>2015</v>
          </cell>
          <cell r="E1203" t="str">
            <v>UK</v>
          </cell>
          <cell r="F1203" t="str">
            <v>TR34/L98H</v>
          </cell>
          <cell r="G1203" t="str">
            <v>MAT1-2</v>
          </cell>
          <cell r="H1203" t="str">
            <v>Environmental</v>
          </cell>
          <cell r="I1203" t="str">
            <v>Wildtype</v>
          </cell>
          <cell r="K1203">
            <v>2</v>
          </cell>
        </row>
        <row r="1204">
          <cell r="A1204" t="str">
            <v>E90</v>
          </cell>
          <cell r="B1204">
            <v>38.591051999999998</v>
          </cell>
          <cell r="C1204">
            <v>-9.0405250000000006</v>
          </cell>
          <cell r="D1204">
            <v>1985</v>
          </cell>
          <cell r="E1204" t="str">
            <v>Portugal</v>
          </cell>
          <cell r="F1204" t="str">
            <v>Wildtype</v>
          </cell>
          <cell r="G1204" t="str">
            <v>MAT1-1</v>
          </cell>
          <cell r="H1204" t="str">
            <v>Environmental</v>
          </cell>
          <cell r="I1204" t="str">
            <v>Wildtype</v>
          </cell>
          <cell r="K1204">
            <v>4</v>
          </cell>
        </row>
        <row r="1205">
          <cell r="A1205" t="str">
            <v>E91</v>
          </cell>
          <cell r="B1205">
            <v>47.497911999999999</v>
          </cell>
          <cell r="C1205">
            <v>19.040234999999999</v>
          </cell>
          <cell r="D1205">
            <v>1977</v>
          </cell>
          <cell r="E1205" t="str">
            <v>Hungary</v>
          </cell>
          <cell r="F1205" t="str">
            <v>Wildtype</v>
          </cell>
          <cell r="G1205" t="str">
            <v>MAT1-1</v>
          </cell>
          <cell r="H1205" t="str">
            <v>Environmental</v>
          </cell>
          <cell r="I1205" t="str">
            <v>Wildtype</v>
          </cell>
          <cell r="K1205">
            <v>3</v>
          </cell>
        </row>
        <row r="1206">
          <cell r="A1206" t="str">
            <v>E92</v>
          </cell>
          <cell r="B1206">
            <v>46.786324</v>
          </cell>
          <cell r="C1206">
            <v>17.494077000000001</v>
          </cell>
          <cell r="D1206">
            <v>1985</v>
          </cell>
          <cell r="E1206" t="str">
            <v>Hungary</v>
          </cell>
          <cell r="F1206" t="str">
            <v>Wildtype</v>
          </cell>
          <cell r="G1206" t="str">
            <v>MAT1-2</v>
          </cell>
          <cell r="H1206" t="str">
            <v>Environmental</v>
          </cell>
          <cell r="I1206" t="str">
            <v>Wildtype</v>
          </cell>
          <cell r="K1206">
            <v>4</v>
          </cell>
        </row>
        <row r="1207">
          <cell r="A1207" t="str">
            <v>E93</v>
          </cell>
          <cell r="B1207">
            <v>37.774929</v>
          </cell>
          <cell r="C1207">
            <v>-122.419416</v>
          </cell>
          <cell r="D1207">
            <v>1988</v>
          </cell>
          <cell r="E1207" t="str">
            <v>USA</v>
          </cell>
          <cell r="F1207" t="str">
            <v>Wildtype</v>
          </cell>
          <cell r="G1207" t="str">
            <v>MAT1-2</v>
          </cell>
          <cell r="H1207" t="str">
            <v>Environmental</v>
          </cell>
          <cell r="I1207" t="str">
            <v>Wildtype</v>
          </cell>
          <cell r="K1207">
            <v>4</v>
          </cell>
        </row>
        <row r="1208">
          <cell r="A1208" t="str">
            <v>E94</v>
          </cell>
          <cell r="B1208">
            <v>-23.550519999999999</v>
          </cell>
          <cell r="C1208">
            <v>-46.633308999999997</v>
          </cell>
          <cell r="D1208">
            <v>1991</v>
          </cell>
          <cell r="E1208" t="str">
            <v>Brazil</v>
          </cell>
          <cell r="F1208" t="str">
            <v>Wildtype</v>
          </cell>
          <cell r="G1208" t="str">
            <v>MAT1-1</v>
          </cell>
          <cell r="H1208" t="str">
            <v>Environmental</v>
          </cell>
          <cell r="I1208" t="str">
            <v>Wildtype</v>
          </cell>
          <cell r="K1208">
            <v>4</v>
          </cell>
        </row>
        <row r="1209">
          <cell r="A1209" t="str">
            <v>E95</v>
          </cell>
          <cell r="B1209">
            <v>35.011634999999998</v>
          </cell>
          <cell r="C1209">
            <v>135.768036</v>
          </cell>
          <cell r="D1209">
            <v>1985</v>
          </cell>
          <cell r="E1209" t="str">
            <v>Japan</v>
          </cell>
          <cell r="F1209" t="str">
            <v>Wildtype</v>
          </cell>
          <cell r="G1209" t="e">
            <v>#N/A</v>
          </cell>
          <cell r="H1209" t="str">
            <v>Environmental</v>
          </cell>
          <cell r="I1209" t="str">
            <v>Wildtype</v>
          </cell>
          <cell r="K1209">
            <v>1</v>
          </cell>
        </row>
        <row r="1210">
          <cell r="A1210" t="str">
            <v>E96</v>
          </cell>
          <cell r="B1210">
            <v>-17.825165999999999</v>
          </cell>
          <cell r="C1210">
            <v>31.03351</v>
          </cell>
          <cell r="D1210">
            <v>2002</v>
          </cell>
          <cell r="E1210" t="str">
            <v>Zimbabwe</v>
          </cell>
          <cell r="F1210" t="str">
            <v>Wildtype</v>
          </cell>
          <cell r="G1210" t="str">
            <v>MAT1-2</v>
          </cell>
          <cell r="H1210" t="str">
            <v>Environmental</v>
          </cell>
          <cell r="I1210" t="str">
            <v>Wildtype</v>
          </cell>
          <cell r="K1210">
            <v>3</v>
          </cell>
        </row>
        <row r="1211">
          <cell r="A1211" t="str">
            <v>E97</v>
          </cell>
          <cell r="B1211">
            <v>-17.825165999999999</v>
          </cell>
          <cell r="C1211">
            <v>31.03351</v>
          </cell>
          <cell r="D1211">
            <v>2002</v>
          </cell>
          <cell r="E1211" t="str">
            <v>Zimbabwe</v>
          </cell>
          <cell r="F1211" t="str">
            <v>Wildtype</v>
          </cell>
          <cell r="G1211" t="str">
            <v>MAT1-2</v>
          </cell>
          <cell r="H1211" t="str">
            <v>Environmental</v>
          </cell>
          <cell r="I1211" t="str">
            <v>Wildtype</v>
          </cell>
          <cell r="K1211">
            <v>5</v>
          </cell>
        </row>
        <row r="1212">
          <cell r="A1212" t="str">
            <v>E98</v>
          </cell>
          <cell r="B1212">
            <v>8.5241389999999999</v>
          </cell>
          <cell r="C1212">
            <v>76.936638000000002</v>
          </cell>
          <cell r="D1212">
            <v>1997</v>
          </cell>
          <cell r="E1212" t="str">
            <v>India</v>
          </cell>
          <cell r="F1212" t="str">
            <v>Wildtype</v>
          </cell>
          <cell r="G1212" t="str">
            <v>MAT1-2</v>
          </cell>
          <cell r="H1212" t="str">
            <v>Environmental</v>
          </cell>
          <cell r="I1212" t="str">
            <v>Wildtype</v>
          </cell>
          <cell r="K1212">
            <v>3</v>
          </cell>
        </row>
        <row r="1213">
          <cell r="A1213" t="str">
            <v>E99</v>
          </cell>
          <cell r="B1213">
            <v>-28.753219999999999</v>
          </cell>
          <cell r="C1213">
            <v>31.893512000000001</v>
          </cell>
          <cell r="D1213">
            <v>2002</v>
          </cell>
          <cell r="E1213" t="str">
            <v xml:space="preserve">South Africa </v>
          </cell>
          <cell r="F1213" t="str">
            <v>Wildtype</v>
          </cell>
          <cell r="G1213" t="str">
            <v>MAT1-1</v>
          </cell>
          <cell r="H1213" t="str">
            <v>Environmental</v>
          </cell>
          <cell r="I1213" t="str">
            <v>Wildtype</v>
          </cell>
          <cell r="K1213">
            <v>5</v>
          </cell>
        </row>
        <row r="1214">
          <cell r="A1214" t="str">
            <v>U1</v>
          </cell>
          <cell r="B1214">
            <v>53.349805000000003</v>
          </cell>
          <cell r="C1214">
            <v>-6.2603099999999996</v>
          </cell>
          <cell r="D1214">
            <v>2010</v>
          </cell>
          <cell r="E1214" t="str">
            <v>Republic of Ireland</v>
          </cell>
          <cell r="F1214" t="str">
            <v>Wildtype</v>
          </cell>
          <cell r="G1214" t="str">
            <v>MAT1-2</v>
          </cell>
          <cell r="H1214" t="str">
            <v>Clinical</v>
          </cell>
          <cell r="I1214" t="str">
            <v>Wildtype</v>
          </cell>
          <cell r="J1214">
            <v>0.03</v>
          </cell>
          <cell r="K1214">
            <v>4</v>
          </cell>
        </row>
        <row r="1215">
          <cell r="A1215" t="str">
            <v>U2</v>
          </cell>
          <cell r="B1215">
            <v>53.349805000000003</v>
          </cell>
          <cell r="C1215">
            <v>-6.2603099999999996</v>
          </cell>
          <cell r="E1215" t="str">
            <v>Republic of Ireland</v>
          </cell>
          <cell r="F1215" t="str">
            <v>Wildtype</v>
          </cell>
          <cell r="G1215" t="str">
            <v>MAT1-2</v>
          </cell>
          <cell r="H1215" t="str">
            <v>Clinical</v>
          </cell>
          <cell r="I1215" t="str">
            <v>Wildtype</v>
          </cell>
          <cell r="J1215">
            <v>0.03</v>
          </cell>
          <cell r="K1215">
            <v>4</v>
          </cell>
        </row>
        <row r="1216">
          <cell r="A1216" t="str">
            <v>U3</v>
          </cell>
          <cell r="B1216">
            <v>53.349805000000003</v>
          </cell>
          <cell r="C1216">
            <v>-6.2603099999999996</v>
          </cell>
          <cell r="D1216">
            <v>2011</v>
          </cell>
          <cell r="E1216" t="str">
            <v>Republic of Ireland</v>
          </cell>
          <cell r="F1216" t="str">
            <v>Wildtype</v>
          </cell>
          <cell r="G1216" t="str">
            <v>MAT1-2</v>
          </cell>
          <cell r="H1216" t="str">
            <v>Clinical</v>
          </cell>
          <cell r="I1216" t="str">
            <v>Wildtype</v>
          </cell>
          <cell r="J1216">
            <v>0.06</v>
          </cell>
          <cell r="K1216">
            <v>4</v>
          </cell>
        </row>
        <row r="1217">
          <cell r="A1217" t="str">
            <v>U4</v>
          </cell>
          <cell r="B1217">
            <v>34.519939000000001</v>
          </cell>
          <cell r="C1217">
            <v>-105.870087</v>
          </cell>
          <cell r="E1217" t="str">
            <v>USA</v>
          </cell>
          <cell r="F1217" t="str">
            <v>Wildtype</v>
          </cell>
          <cell r="G1217" t="str">
            <v>MAT1-2</v>
          </cell>
          <cell r="H1217" t="str">
            <v>Environmental</v>
          </cell>
          <cell r="I1217" t="str">
            <v>Wildtype</v>
          </cell>
          <cell r="K1217">
            <v>4</v>
          </cell>
        </row>
        <row r="1218">
          <cell r="A1218" t="str">
            <v>U5</v>
          </cell>
          <cell r="B1218">
            <v>34.519939000000001</v>
          </cell>
          <cell r="C1218">
            <v>-105.870087</v>
          </cell>
          <cell r="E1218" t="str">
            <v>USA</v>
          </cell>
          <cell r="F1218" t="str">
            <v>Wildtype</v>
          </cell>
          <cell r="G1218" t="str">
            <v>MAT1-2</v>
          </cell>
          <cell r="H1218" t="str">
            <v>Environmental</v>
          </cell>
          <cell r="I1218" t="str">
            <v>Wildtype</v>
          </cell>
          <cell r="K1218">
            <v>4</v>
          </cell>
        </row>
        <row r="1219">
          <cell r="A1219" t="str">
            <v>X1</v>
          </cell>
          <cell r="B1219">
            <v>51.507351</v>
          </cell>
          <cell r="C1219">
            <v>-0.12775800000000001</v>
          </cell>
          <cell r="D1219">
            <v>2018</v>
          </cell>
          <cell r="E1219" t="str">
            <v>UK</v>
          </cell>
          <cell r="F1219" t="str">
            <v>Wildtype</v>
          </cell>
          <cell r="G1219" t="str">
            <v>MAT1-2</v>
          </cell>
          <cell r="H1219" t="str">
            <v>Experimental</v>
          </cell>
          <cell r="I1219" t="str">
            <v>Wildtype</v>
          </cell>
          <cell r="K1219">
            <v>4</v>
          </cell>
        </row>
        <row r="1220">
          <cell r="A1220" t="str">
            <v>X2</v>
          </cell>
          <cell r="B1220">
            <v>51.507351</v>
          </cell>
          <cell r="C1220">
            <v>-0.12775800000000001</v>
          </cell>
          <cell r="D1220">
            <v>2018</v>
          </cell>
          <cell r="E1220" t="str">
            <v>UK</v>
          </cell>
          <cell r="F1220" t="str">
            <v>Wildtype</v>
          </cell>
          <cell r="G1220" t="str">
            <v>MAT1-2</v>
          </cell>
          <cell r="H1220" t="str">
            <v>Experimental</v>
          </cell>
          <cell r="I1220" t="str">
            <v>Wildtype</v>
          </cell>
          <cell r="K1220">
            <v>1</v>
          </cell>
        </row>
        <row r="1221">
          <cell r="A1221" t="str">
            <v>C422</v>
          </cell>
          <cell r="B1221">
            <v>51.467030000000001</v>
          </cell>
          <cell r="C1221">
            <v>-9.0709999999999999E-2</v>
          </cell>
          <cell r="D1221">
            <v>2021</v>
          </cell>
          <cell r="E1221" t="str">
            <v>UK</v>
          </cell>
          <cell r="F1221" t="str">
            <v>Wildtype</v>
          </cell>
          <cell r="H1221" t="str">
            <v>Clinical</v>
          </cell>
          <cell r="I1221" t="str">
            <v>Wildtype</v>
          </cell>
          <cell r="K1221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1C97-63F6-9347-9AB5-95A331616282}">
  <dimension ref="A1:H133"/>
  <sheetViews>
    <sheetView tabSelected="1" workbookViewId="0">
      <selection activeCell="L17" sqref="L17"/>
    </sheetView>
  </sheetViews>
  <sheetFormatPr baseColWidth="10" defaultRowHeight="16" x14ac:dyDescent="0.2"/>
  <cols>
    <col min="1" max="1" width="12.1640625" style="1" bestFit="1" customWidth="1"/>
    <col min="2" max="2" width="12.1640625" style="1" customWidth="1"/>
    <col min="3" max="8" width="10.83203125" style="2"/>
  </cols>
  <sheetData>
    <row r="1" spans="1:8" ht="17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" x14ac:dyDescent="0.2">
      <c r="A2" s="1" t="s">
        <v>8</v>
      </c>
      <c r="B2" s="1">
        <f>VLOOKUP(A2,[1]globalMicroreact!$A:$K,11,FALSE)</f>
        <v>2</v>
      </c>
      <c r="C2" s="2">
        <v>3.4948977600273401</v>
      </c>
      <c r="D2" s="2">
        <v>5.1002627869475403E-2</v>
      </c>
      <c r="E2" s="2">
        <v>-0.276736269976114</v>
      </c>
      <c r="F2" s="2">
        <v>7.1181048507976602E-2</v>
      </c>
      <c r="G2" s="2">
        <v>3.54723392359206</v>
      </c>
      <c r="H2" s="2" t="s">
        <v>9</v>
      </c>
    </row>
    <row r="3" spans="1:8" ht="17" x14ac:dyDescent="0.2">
      <c r="A3" s="1" t="s">
        <v>10</v>
      </c>
      <c r="B3" s="1">
        <f>VLOOKUP(A3,[1]globalMicroreact!$A:$K,11,FALSE)</f>
        <v>2</v>
      </c>
      <c r="C3" s="2">
        <v>2.9156424116987898</v>
      </c>
      <c r="D3" s="2">
        <v>-0.25415302615838797</v>
      </c>
      <c r="E3" s="2">
        <v>-0.208583076025216</v>
      </c>
      <c r="F3" s="2">
        <v>-0.41647874936065699</v>
      </c>
      <c r="G3" s="2">
        <v>3.19636441571634</v>
      </c>
      <c r="H3" s="2" t="s">
        <v>9</v>
      </c>
    </row>
    <row r="4" spans="1:8" ht="17" x14ac:dyDescent="0.2">
      <c r="A4" s="1" t="s">
        <v>11</v>
      </c>
      <c r="B4" s="1">
        <f>VLOOKUP(A4,[1]globalMicroreact!$A:$K,11,FALSE)</f>
        <v>2</v>
      </c>
      <c r="C4" s="2">
        <v>3.41885872267896</v>
      </c>
      <c r="D4" s="2">
        <v>-0.36713710594431198</v>
      </c>
      <c r="E4" s="2">
        <v>-0.25985726313985702</v>
      </c>
      <c r="F4" s="2">
        <v>-0.424030152438717</v>
      </c>
      <c r="G4" s="2">
        <v>3.0358075621409299</v>
      </c>
      <c r="H4" s="2" t="s">
        <v>9</v>
      </c>
    </row>
    <row r="5" spans="1:8" ht="17" x14ac:dyDescent="0.2">
      <c r="A5" s="1" t="s">
        <v>12</v>
      </c>
      <c r="B5" s="1">
        <f>VLOOKUP(A5,[1]globalMicroreact!$A:$K,11,FALSE)</f>
        <v>2</v>
      </c>
      <c r="C5" s="2">
        <v>3.7207586262577701</v>
      </c>
      <c r="D5" s="2">
        <v>-0.65308326922095905</v>
      </c>
      <c r="E5" s="2">
        <v>-0.51872210634471905</v>
      </c>
      <c r="F5" s="2">
        <v>-1.21217930425524</v>
      </c>
      <c r="G5" s="2">
        <v>3.75933288956784</v>
      </c>
      <c r="H5" s="2" t="s">
        <v>9</v>
      </c>
    </row>
    <row r="6" spans="1:8" ht="17" x14ac:dyDescent="0.2">
      <c r="A6" s="1" t="s">
        <v>13</v>
      </c>
      <c r="B6" s="1">
        <f>VLOOKUP(A6,[1]globalMicroreact!$A:$K,11,FALSE)</f>
        <v>2</v>
      </c>
      <c r="C6" s="2">
        <v>3.6029110155837398</v>
      </c>
      <c r="D6" s="2">
        <v>5.1103419130325199E-2</v>
      </c>
      <c r="E6" s="2">
        <v>-3.7174229085601501E-2</v>
      </c>
      <c r="F6" s="2">
        <v>-0.193902265262242</v>
      </c>
      <c r="G6" s="2">
        <v>3.2128377375556498</v>
      </c>
      <c r="H6" s="2" t="s">
        <v>9</v>
      </c>
    </row>
    <row r="7" spans="1:8" ht="17" x14ac:dyDescent="0.2">
      <c r="A7" s="1" t="s">
        <v>14</v>
      </c>
      <c r="B7" s="1">
        <f>VLOOKUP(A7,[1]globalMicroreact!$A:$K,11,FALSE)</f>
        <v>2</v>
      </c>
      <c r="C7" s="2">
        <v>3.1204747673646298</v>
      </c>
      <c r="D7" s="2">
        <v>-0.21994135743006901</v>
      </c>
      <c r="E7" s="2">
        <v>-0.63241997833876595</v>
      </c>
      <c r="F7" s="2">
        <v>-0.43812194684318101</v>
      </c>
      <c r="G7" s="2">
        <v>3.5319796836348201</v>
      </c>
      <c r="H7" s="2" t="s">
        <v>9</v>
      </c>
    </row>
    <row r="8" spans="1:8" ht="17" x14ac:dyDescent="0.2">
      <c r="A8" s="1" t="s">
        <v>15</v>
      </c>
      <c r="B8" s="1">
        <f>VLOOKUP(A8,[1]globalMicroreact!$A:$K,11,FALSE)</f>
        <v>3</v>
      </c>
      <c r="C8" s="2">
        <v>3.5962423908741399</v>
      </c>
      <c r="D8" s="2">
        <v>-0.65918498372109402</v>
      </c>
      <c r="E8" s="2">
        <v>-0.91307403553882205</v>
      </c>
      <c r="F8" s="2">
        <v>-0.93681844065262099</v>
      </c>
      <c r="G8" s="2">
        <v>3.9960476651524401</v>
      </c>
      <c r="H8" s="2" t="s">
        <v>9</v>
      </c>
    </row>
    <row r="9" spans="1:8" ht="17" x14ac:dyDescent="0.2">
      <c r="A9" s="1" t="s">
        <v>16</v>
      </c>
      <c r="B9" s="1">
        <f>VLOOKUP(A9,[1]globalMicroreact!$A:$K,11,FALSE)</f>
        <v>3</v>
      </c>
      <c r="C9" s="2">
        <v>3.66132051771711</v>
      </c>
      <c r="D9" s="2">
        <v>-4.1317958343980901E-2</v>
      </c>
      <c r="E9" s="2">
        <v>-0.21862921176915601</v>
      </c>
      <c r="F9" s="2">
        <v>-0.55026529342830899</v>
      </c>
      <c r="G9" s="2">
        <v>3.9748206025263699</v>
      </c>
      <c r="H9" s="2" t="s">
        <v>9</v>
      </c>
    </row>
    <row r="10" spans="1:8" ht="17" x14ac:dyDescent="0.2">
      <c r="A10" s="1" t="s">
        <v>17</v>
      </c>
      <c r="B10" s="1">
        <f>VLOOKUP(A10,[1]globalMicroreact!$A:$K,11,FALSE)</f>
        <v>2</v>
      </c>
      <c r="C10" s="2">
        <v>3.3508044788657498</v>
      </c>
      <c r="D10" s="2">
        <v>-0.15640817063210299</v>
      </c>
      <c r="E10" s="2">
        <v>-0.216406705653372</v>
      </c>
      <c r="F10" s="2">
        <v>-0.41780256736018301</v>
      </c>
      <c r="G10" s="2">
        <v>3.13437335997292</v>
      </c>
      <c r="H10" s="2" t="s">
        <v>9</v>
      </c>
    </row>
    <row r="11" spans="1:8" ht="17" x14ac:dyDescent="0.2">
      <c r="A11" s="1" t="s">
        <v>18</v>
      </c>
      <c r="B11" s="1">
        <f>VLOOKUP(A11,[1]globalMicroreact!$A:$K,11,FALSE)</f>
        <v>2</v>
      </c>
      <c r="C11" s="2">
        <v>3.2391713855543198</v>
      </c>
      <c r="D11" s="2">
        <v>-0.13321844144324199</v>
      </c>
      <c r="E11" s="2">
        <v>-0.14176738670306699</v>
      </c>
      <c r="F11" s="2">
        <v>-0.51049830825337394</v>
      </c>
      <c r="G11" s="2">
        <v>2.8417740539367502</v>
      </c>
      <c r="H11" s="2" t="s">
        <v>9</v>
      </c>
    </row>
    <row r="12" spans="1:8" ht="17" x14ac:dyDescent="0.2">
      <c r="A12" s="1" t="s">
        <v>19</v>
      </c>
      <c r="B12" s="1">
        <f>VLOOKUP(A12,[1]globalMicroreact!$A:$K,11,FALSE)</f>
        <v>3</v>
      </c>
      <c r="C12" s="2">
        <v>3.5365934156379799</v>
      </c>
      <c r="D12" s="2">
        <v>-9.0050600522690403E-3</v>
      </c>
      <c r="E12" s="2">
        <v>0.116328672009197</v>
      </c>
      <c r="F12" s="2">
        <v>-0.23313887004169701</v>
      </c>
      <c r="G12" s="2">
        <v>3.0532222622499399</v>
      </c>
      <c r="H12" s="2" t="s">
        <v>9</v>
      </c>
    </row>
    <row r="13" spans="1:8" ht="17" x14ac:dyDescent="0.2">
      <c r="A13" s="1" t="s">
        <v>20</v>
      </c>
      <c r="B13" s="1">
        <f>VLOOKUP(A13,[1]globalMicroreact!$A:$K,11,FALSE)</f>
        <v>4</v>
      </c>
      <c r="C13" s="2">
        <v>3.7165660299810499</v>
      </c>
      <c r="D13" s="2">
        <v>0.16204185191463699</v>
      </c>
      <c r="E13" s="2">
        <v>0.24654983386584101</v>
      </c>
      <c r="F13" s="2">
        <v>-0.39499089677168298</v>
      </c>
      <c r="G13" s="2">
        <v>3.40856163713562</v>
      </c>
      <c r="H13" s="2" t="s">
        <v>9</v>
      </c>
    </row>
    <row r="14" spans="1:8" ht="17" x14ac:dyDescent="0.2">
      <c r="A14" s="1" t="s">
        <v>21</v>
      </c>
      <c r="B14" s="1">
        <f>VLOOKUP(A14,[1]globalMicroreact!$A:$K,11,FALSE)</f>
        <v>3</v>
      </c>
      <c r="C14" s="2">
        <v>2.9588944533693802</v>
      </c>
      <c r="D14" s="2">
        <v>-0.76895831820696403</v>
      </c>
      <c r="E14" s="2">
        <v>-1.0495495326670601</v>
      </c>
      <c r="F14" s="2">
        <v>-0.56810235083827498</v>
      </c>
      <c r="G14" s="2">
        <v>4.4214701075577896</v>
      </c>
      <c r="H14" s="2" t="s">
        <v>9</v>
      </c>
    </row>
    <row r="15" spans="1:8" ht="17" x14ac:dyDescent="0.2">
      <c r="A15" s="1" t="s">
        <v>22</v>
      </c>
      <c r="B15" s="1">
        <f>VLOOKUP(A15,[1]globalMicroreact!$A:$K,11,FALSE)</f>
        <v>4</v>
      </c>
      <c r="C15" s="2">
        <v>3.4211345807453299</v>
      </c>
      <c r="D15" s="2">
        <v>-0.218812543418652</v>
      </c>
      <c r="E15" s="2">
        <v>-0.33880065944279097</v>
      </c>
      <c r="F15" s="2">
        <v>-0.65873355747126106</v>
      </c>
      <c r="G15" s="2">
        <v>2.8053865786236001</v>
      </c>
      <c r="H15" s="2" t="s">
        <v>9</v>
      </c>
    </row>
    <row r="16" spans="1:8" ht="17" x14ac:dyDescent="0.2">
      <c r="A16" s="1" t="s">
        <v>23</v>
      </c>
      <c r="B16" s="1">
        <f>VLOOKUP(A16,[1]globalMicroreact!$A:$K,11,FALSE)</f>
        <v>4</v>
      </c>
      <c r="C16" s="2">
        <v>3.1993742632190201</v>
      </c>
      <c r="D16" s="2">
        <v>-0.26477752253301501</v>
      </c>
      <c r="E16" s="2">
        <v>-0.33498408068825802</v>
      </c>
      <c r="F16" s="2">
        <v>-0.267550691552079</v>
      </c>
      <c r="G16" s="2">
        <v>2.9398590167734602</v>
      </c>
      <c r="H16" s="2" t="s">
        <v>9</v>
      </c>
    </row>
    <row r="17" spans="1:8" ht="17" x14ac:dyDescent="0.2">
      <c r="A17" s="1" t="s">
        <v>24</v>
      </c>
      <c r="B17" s="1">
        <f>VLOOKUP(A17,[1]globalMicroreact!$A:$K,11,FALSE)</f>
        <v>3</v>
      </c>
      <c r="C17" s="2">
        <v>4.1199585065781896</v>
      </c>
      <c r="D17" s="2">
        <v>8.8538796378219806E-2</v>
      </c>
      <c r="E17" s="2">
        <v>-0.205179727929966</v>
      </c>
      <c r="F17" s="2">
        <v>0.288177572807511</v>
      </c>
      <c r="G17" s="2">
        <v>3.70397839408218</v>
      </c>
      <c r="H17" s="2" t="s">
        <v>9</v>
      </c>
    </row>
    <row r="18" spans="1:8" ht="17" x14ac:dyDescent="0.2">
      <c r="A18" s="1" t="s">
        <v>25</v>
      </c>
      <c r="B18" s="1">
        <f>VLOOKUP(A18,[1]globalMicroreact!$A:$K,11,FALSE)</f>
        <v>1</v>
      </c>
      <c r="C18" s="2">
        <v>4.4373679679527402</v>
      </c>
      <c r="D18" s="2">
        <v>-0.59213639726304801</v>
      </c>
      <c r="E18" s="2">
        <v>-0.98485515103174803</v>
      </c>
      <c r="F18" s="2">
        <v>-0.32555408978043998</v>
      </c>
      <c r="G18" s="2">
        <v>0.73237840161850998</v>
      </c>
      <c r="H18" s="2" t="s">
        <v>9</v>
      </c>
    </row>
    <row r="19" spans="1:8" ht="17" x14ac:dyDescent="0.2">
      <c r="A19" s="1" t="s">
        <v>26</v>
      </c>
      <c r="B19" s="1">
        <f>VLOOKUP(A19,[1]globalMicroreact!$A:$K,11,FALSE)</f>
        <v>4</v>
      </c>
      <c r="C19" s="2">
        <v>0.81727777633052701</v>
      </c>
      <c r="D19" s="2">
        <v>0.52617389279165006</v>
      </c>
      <c r="E19" s="2">
        <v>-0.28836963156144702</v>
      </c>
      <c r="F19" s="2">
        <v>-0.78850509663715396</v>
      </c>
      <c r="G19" s="2">
        <v>1.43967411053522</v>
      </c>
      <c r="H19" s="2" t="s">
        <v>9</v>
      </c>
    </row>
    <row r="20" spans="1:8" ht="17" x14ac:dyDescent="0.2">
      <c r="A20" s="1" t="s">
        <v>27</v>
      </c>
      <c r="B20" s="1">
        <f>VLOOKUP(A20,[1]globalMicroreact!$A:$K,11,FALSE)</f>
        <v>3</v>
      </c>
      <c r="C20" s="2">
        <v>2.9021222263433399</v>
      </c>
      <c r="D20" s="2">
        <v>-2.0994022901990501E-2</v>
      </c>
      <c r="E20" s="2">
        <v>-7.6872847544118994E-2</v>
      </c>
      <c r="F20" s="2">
        <v>0.37842737910027502</v>
      </c>
      <c r="G20" s="2">
        <v>3.27572248096986</v>
      </c>
      <c r="H20" s="2" t="s">
        <v>9</v>
      </c>
    </row>
    <row r="21" spans="1:8" ht="17" x14ac:dyDescent="0.2">
      <c r="A21" s="1" t="s">
        <v>28</v>
      </c>
      <c r="B21" s="1">
        <f>VLOOKUP(A21,[1]globalMicroreact!$A:$K,11,FALSE)</f>
        <v>2</v>
      </c>
      <c r="C21" s="2">
        <v>3.1023729571391199</v>
      </c>
      <c r="D21" s="2">
        <v>-0.24377358678561201</v>
      </c>
      <c r="E21" s="2">
        <v>-0.32186763363179799</v>
      </c>
      <c r="F21" s="2">
        <v>-0.53592437565218498</v>
      </c>
      <c r="G21" s="2">
        <v>3.2922151273304698</v>
      </c>
      <c r="H21" s="2" t="s">
        <v>9</v>
      </c>
    </row>
    <row r="22" spans="1:8" ht="17" x14ac:dyDescent="0.2">
      <c r="A22" s="1" t="s">
        <v>29</v>
      </c>
      <c r="B22" s="1">
        <f>VLOOKUP(A22,[1]globalMicroreact!$A:$K,11,FALSE)</f>
        <v>2</v>
      </c>
      <c r="C22" s="2">
        <v>3.5827691390452299</v>
      </c>
      <c r="D22" s="2">
        <v>-0.16576565080012301</v>
      </c>
      <c r="E22" s="2">
        <v>-0.13798964897525101</v>
      </c>
      <c r="F22" s="2">
        <v>-0.38123618414129101</v>
      </c>
      <c r="G22" s="2">
        <v>3.8716282441470198</v>
      </c>
      <c r="H22" s="2" t="s">
        <v>9</v>
      </c>
    </row>
    <row r="23" spans="1:8" ht="17" x14ac:dyDescent="0.2">
      <c r="A23" s="1" t="s">
        <v>30</v>
      </c>
      <c r="B23" s="1">
        <f>VLOOKUP(A23,[1]globalMicroreact!$A:$K,11,FALSE)</f>
        <v>2</v>
      </c>
      <c r="C23" s="2">
        <v>3.40867600091741</v>
      </c>
      <c r="D23" s="2">
        <v>-0.26192822349244499</v>
      </c>
      <c r="E23" s="2">
        <v>-0.170566015297695</v>
      </c>
      <c r="F23" s="2">
        <v>-0.37154774269673801</v>
      </c>
      <c r="G23" s="2">
        <v>3.0522768805766098</v>
      </c>
      <c r="H23" s="2" t="s">
        <v>9</v>
      </c>
    </row>
    <row r="24" spans="1:8" ht="17" x14ac:dyDescent="0.2">
      <c r="A24" s="1" t="s">
        <v>31</v>
      </c>
      <c r="B24" s="1">
        <f>VLOOKUP(A24,[1]globalMicroreact!$A:$K,11,FALSE)</f>
        <v>3</v>
      </c>
      <c r="C24" s="2">
        <v>3.1003195813955799</v>
      </c>
      <c r="D24" s="2">
        <v>-0.92862925909396299</v>
      </c>
      <c r="E24" s="2">
        <v>-0.68083320241586898</v>
      </c>
      <c r="F24" s="2">
        <v>-1.02640606671576</v>
      </c>
      <c r="G24" s="2">
        <v>3.1304734577698601</v>
      </c>
      <c r="H24" s="2" t="s">
        <v>9</v>
      </c>
    </row>
    <row r="25" spans="1:8" ht="17" x14ac:dyDescent="0.2">
      <c r="A25" s="1" t="s">
        <v>32</v>
      </c>
      <c r="B25" s="1">
        <f>VLOOKUP(A25,[1]globalMicroreact!$A:$K,11,FALSE)</f>
        <v>3</v>
      </c>
      <c r="C25" s="2">
        <v>3.3950133864643299</v>
      </c>
      <c r="D25" s="2">
        <v>-0.27302702996711198</v>
      </c>
      <c r="E25" s="2">
        <v>-0.77504173867177995</v>
      </c>
      <c r="F25" s="2">
        <v>-0.45396134468270199</v>
      </c>
      <c r="G25" s="2">
        <v>3.3361266281996498</v>
      </c>
      <c r="H25" s="2" t="s">
        <v>9</v>
      </c>
    </row>
    <row r="26" spans="1:8" ht="17" x14ac:dyDescent="0.2">
      <c r="A26" s="1" t="s">
        <v>33</v>
      </c>
      <c r="B26" s="1">
        <f>VLOOKUP(A26,[1]globalMicroreact!$A:$K,11,FALSE)</f>
        <v>3</v>
      </c>
      <c r="C26" s="2">
        <v>3.2819755852830998</v>
      </c>
      <c r="D26" s="2">
        <v>-0.99649833317348901</v>
      </c>
      <c r="E26" s="2">
        <v>-0.82033764085233396</v>
      </c>
      <c r="F26" s="2">
        <v>-0.54588944475069801</v>
      </c>
      <c r="G26" s="2">
        <v>3.8433111677554499</v>
      </c>
      <c r="H26" s="2" t="s">
        <v>9</v>
      </c>
    </row>
    <row r="27" spans="1:8" ht="17" x14ac:dyDescent="0.2">
      <c r="A27" s="1" t="s">
        <v>34</v>
      </c>
      <c r="B27" s="1">
        <f>VLOOKUP(A27,[1]globalMicroreact!$A:$K,11,FALSE)</f>
        <v>4</v>
      </c>
      <c r="C27" s="2">
        <v>4.7322880146752402</v>
      </c>
      <c r="D27" s="2">
        <v>1.3372384800897801</v>
      </c>
      <c r="E27" s="2">
        <v>6.4996711501394104</v>
      </c>
      <c r="F27" s="2">
        <v>2.1865914134550199</v>
      </c>
      <c r="G27" s="2">
        <v>0.35008583982314601</v>
      </c>
      <c r="H27" s="2" t="s">
        <v>35</v>
      </c>
    </row>
    <row r="28" spans="1:8" ht="17" x14ac:dyDescent="0.2">
      <c r="A28" s="1" t="s">
        <v>36</v>
      </c>
      <c r="B28" s="1">
        <f>VLOOKUP(A28,[1]globalMicroreact!$A:$K,11,FALSE)</f>
        <v>3</v>
      </c>
      <c r="C28" s="2">
        <v>3.5147768434929301</v>
      </c>
      <c r="D28" s="2">
        <v>2.4163294036699998</v>
      </c>
      <c r="E28" s="2">
        <v>2.2390155055354599</v>
      </c>
      <c r="F28" s="2">
        <v>8.29356213074918</v>
      </c>
      <c r="G28" s="2">
        <v>3.7551655991546502</v>
      </c>
      <c r="H28" s="2" t="s">
        <v>35</v>
      </c>
    </row>
    <row r="29" spans="1:8" ht="17" x14ac:dyDescent="0.2">
      <c r="A29" s="1" t="s">
        <v>37</v>
      </c>
      <c r="B29" s="1">
        <f>VLOOKUP(A29,[1]globalMicroreact!$A:$K,11,FALSE)</f>
        <v>3</v>
      </c>
      <c r="C29" s="2">
        <v>3.4197093439035302</v>
      </c>
      <c r="D29" s="2">
        <v>2.3493144405385702</v>
      </c>
      <c r="E29" s="2">
        <v>2.20943175552177</v>
      </c>
      <c r="F29" s="2">
        <v>8.1792945169729094</v>
      </c>
      <c r="G29" s="2">
        <v>1.9812423775097201</v>
      </c>
      <c r="H29" s="2" t="s">
        <v>35</v>
      </c>
    </row>
    <row r="30" spans="1:8" ht="17" x14ac:dyDescent="0.2">
      <c r="A30" s="1" t="s">
        <v>38</v>
      </c>
      <c r="B30" s="1">
        <f>VLOOKUP(A30,[1]globalMicroreact!$A:$K,11,FALSE)</f>
        <v>3</v>
      </c>
      <c r="C30" s="2">
        <v>4.0333017674769103</v>
      </c>
      <c r="D30" s="2">
        <v>8.0723503670608991</v>
      </c>
      <c r="E30" s="2">
        <v>6.5677459934985603</v>
      </c>
      <c r="F30" s="2">
        <v>8.9677319535567594</v>
      </c>
      <c r="G30" s="2">
        <v>3.8213652967366301</v>
      </c>
      <c r="H30" s="2" t="s">
        <v>35</v>
      </c>
    </row>
    <row r="31" spans="1:8" ht="17" x14ac:dyDescent="0.2">
      <c r="A31" s="1" t="s">
        <v>39</v>
      </c>
      <c r="B31" s="1">
        <f>VLOOKUP(A31,[1]globalMicroreact!$A:$K,11,FALSE)</f>
        <v>2</v>
      </c>
      <c r="C31" s="2">
        <v>4.2374070238727697</v>
      </c>
      <c r="D31" s="2">
        <v>8.0241763791856204</v>
      </c>
      <c r="E31" s="2">
        <v>6.5890012639275799</v>
      </c>
      <c r="F31" s="2">
        <v>9.08941776448785</v>
      </c>
      <c r="G31" s="2">
        <v>4.1977266827014601</v>
      </c>
      <c r="H31" s="2" t="s">
        <v>35</v>
      </c>
    </row>
    <row r="32" spans="1:8" ht="17" x14ac:dyDescent="0.2">
      <c r="A32" s="1" t="s">
        <v>40</v>
      </c>
      <c r="B32" s="1">
        <f>VLOOKUP(A32,[1]globalMicroreact!$A:$K,11,FALSE)</f>
        <v>3</v>
      </c>
      <c r="C32" s="2">
        <v>3.35662298586732</v>
      </c>
      <c r="D32" s="2">
        <v>8.0176276347565896</v>
      </c>
      <c r="E32" s="2">
        <v>6.2959548296165799</v>
      </c>
      <c r="F32" s="2">
        <v>8.75663012784808</v>
      </c>
      <c r="G32" s="2">
        <v>5.01650207829816</v>
      </c>
      <c r="H32" s="2" t="s">
        <v>35</v>
      </c>
    </row>
    <row r="33" spans="1:8" ht="17" x14ac:dyDescent="0.2">
      <c r="A33" s="1" t="s">
        <v>41</v>
      </c>
      <c r="B33" s="1">
        <f>VLOOKUP(A33,[1]globalMicroreact!$A:$K,11,FALSE)</f>
        <v>4</v>
      </c>
      <c r="C33" s="2">
        <v>3.5147559187205202</v>
      </c>
      <c r="D33" s="2">
        <v>0.70964181221762901</v>
      </c>
      <c r="E33" s="2">
        <v>1.6312064536675901</v>
      </c>
      <c r="F33" s="2">
        <v>0.43182093369892199</v>
      </c>
      <c r="G33" s="2">
        <v>2.5092917591923198</v>
      </c>
      <c r="H33" s="2" t="s">
        <v>35</v>
      </c>
    </row>
    <row r="34" spans="1:8" ht="17" x14ac:dyDescent="0.2">
      <c r="A34" s="1" t="s">
        <v>42</v>
      </c>
      <c r="B34" s="1">
        <f>VLOOKUP(A34,[1]globalMicroreact!$A:$K,11,FALSE)</f>
        <v>3</v>
      </c>
      <c r="C34" s="2">
        <v>1.7759471291800699</v>
      </c>
      <c r="D34" s="2">
        <v>1.82109687684198</v>
      </c>
      <c r="E34" s="2">
        <v>1.5566112560637599</v>
      </c>
      <c r="F34" s="2">
        <v>0.85713387005519004</v>
      </c>
      <c r="G34" s="2">
        <v>1.41128549438517</v>
      </c>
      <c r="H34" s="2" t="s">
        <v>35</v>
      </c>
    </row>
    <row r="35" spans="1:8" ht="17" x14ac:dyDescent="0.2">
      <c r="A35" s="1" t="s">
        <v>43</v>
      </c>
      <c r="B35" s="1">
        <f>VLOOKUP(A35,[1]globalMicroreact!$A:$K,11,FALSE)</f>
        <v>2</v>
      </c>
      <c r="C35" s="2">
        <v>2.5159441976065402</v>
      </c>
      <c r="D35" s="2">
        <v>0.96658493215450303</v>
      </c>
      <c r="E35" s="2">
        <v>1.7142012522980199</v>
      </c>
      <c r="F35" s="2">
        <v>1.23329584023734</v>
      </c>
      <c r="G35" s="2">
        <v>4.58015702802214</v>
      </c>
      <c r="H35" s="2" t="s">
        <v>35</v>
      </c>
    </row>
    <row r="36" spans="1:8" ht="17" x14ac:dyDescent="0.2">
      <c r="A36" s="1" t="s">
        <v>44</v>
      </c>
      <c r="B36" s="1">
        <f>VLOOKUP(A36,[1]globalMicroreact!$A:$K,11,FALSE)</f>
        <v>5</v>
      </c>
      <c r="C36" s="2">
        <v>4.7640826795154601</v>
      </c>
      <c r="D36" s="2">
        <v>2.8352517223195299</v>
      </c>
      <c r="E36" s="2">
        <v>5.9450672522689301</v>
      </c>
      <c r="F36" s="2">
        <v>8.3959786575120798</v>
      </c>
      <c r="G36" s="2">
        <v>4.4421163961563499</v>
      </c>
      <c r="H36" s="2" t="s">
        <v>35</v>
      </c>
    </row>
    <row r="37" spans="1:8" ht="17" x14ac:dyDescent="0.2">
      <c r="A37" s="1" t="s">
        <v>45</v>
      </c>
      <c r="B37" s="1">
        <f>VLOOKUP(A37,[1]globalMicroreact!$A:$K,11,FALSE)</f>
        <v>5</v>
      </c>
      <c r="C37" s="2">
        <v>4.7535722149667601</v>
      </c>
      <c r="D37" s="2">
        <v>7.0271763188888396</v>
      </c>
      <c r="E37" s="2">
        <v>6.2465275672670701</v>
      </c>
      <c r="F37" s="2">
        <v>8.4003961479064309</v>
      </c>
      <c r="G37" s="2">
        <v>4.8665714798009301</v>
      </c>
      <c r="H37" s="2" t="s">
        <v>35</v>
      </c>
    </row>
    <row r="38" spans="1:8" ht="17" x14ac:dyDescent="0.2">
      <c r="A38" s="1" t="s">
        <v>46</v>
      </c>
      <c r="B38" s="1">
        <f>VLOOKUP(A38,[1]globalMicroreact!$A:$K,11,FALSE)</f>
        <v>4</v>
      </c>
      <c r="C38" s="2">
        <v>5.2277884798328502</v>
      </c>
      <c r="D38" s="2">
        <v>2.9204467719799498</v>
      </c>
      <c r="E38" s="2">
        <v>6.3962439432812301</v>
      </c>
      <c r="F38" s="2">
        <v>8.5281498240168503</v>
      </c>
      <c r="G38" s="2">
        <v>-5.1941049305782597E-2</v>
      </c>
      <c r="H38" s="2" t="s">
        <v>35</v>
      </c>
    </row>
    <row r="39" spans="1:8" ht="17" x14ac:dyDescent="0.2">
      <c r="A39" s="1" t="s">
        <v>47</v>
      </c>
      <c r="B39" s="1">
        <f>VLOOKUP(A39,[1]globalMicroreact!$A:$K,11,FALSE)</f>
        <v>4</v>
      </c>
      <c r="C39" s="2">
        <v>2.07063498800122</v>
      </c>
      <c r="D39" s="2">
        <v>4.6710808036805798</v>
      </c>
      <c r="E39" s="2">
        <v>2.4980142295813401</v>
      </c>
      <c r="F39" s="2">
        <v>3.0579802849065598</v>
      </c>
      <c r="G39" s="2">
        <v>-0.15140588363590801</v>
      </c>
      <c r="H39" s="2" t="s">
        <v>35</v>
      </c>
    </row>
    <row r="40" spans="1:8" ht="17" x14ac:dyDescent="0.2">
      <c r="A40" s="1" t="s">
        <v>48</v>
      </c>
      <c r="B40" s="1">
        <f>VLOOKUP(A40,[1]globalMicroreact!$A:$K,11,FALSE)</f>
        <v>4</v>
      </c>
      <c r="C40" s="2">
        <v>5.2034242958982704</v>
      </c>
      <c r="D40" s="2">
        <v>2.8105818233139201</v>
      </c>
      <c r="E40" s="2">
        <v>5.94726422185005</v>
      </c>
      <c r="F40" s="2">
        <v>8.4198555250849303</v>
      </c>
      <c r="G40" s="2">
        <v>-0.315733907444539</v>
      </c>
      <c r="H40" s="2" t="s">
        <v>35</v>
      </c>
    </row>
    <row r="41" spans="1:8" ht="17" x14ac:dyDescent="0.2">
      <c r="A41" s="1" t="s">
        <v>49</v>
      </c>
      <c r="B41" s="1">
        <f>VLOOKUP(A41,[1]globalMicroreact!$A:$K,11,FALSE)</f>
        <v>2</v>
      </c>
      <c r="C41" s="2">
        <v>3.4620687054922898</v>
      </c>
      <c r="D41" s="2">
        <v>7.8072641886603602</v>
      </c>
      <c r="E41" s="2">
        <v>6.1669869902556904</v>
      </c>
      <c r="F41" s="2">
        <v>8.5238759018029899</v>
      </c>
      <c r="G41" s="2">
        <v>4.9894205523543702</v>
      </c>
      <c r="H41" s="2" t="s">
        <v>35</v>
      </c>
    </row>
    <row r="42" spans="1:8" ht="17" x14ac:dyDescent="0.2">
      <c r="A42" s="1" t="s">
        <v>50</v>
      </c>
      <c r="B42" s="1">
        <f>VLOOKUP(A42,[1]globalMicroreact!$A:$K,11,FALSE)</f>
        <v>3</v>
      </c>
      <c r="C42" s="2">
        <v>3.5708533635606101</v>
      </c>
      <c r="D42" s="2">
        <v>4.8728168752918704</v>
      </c>
      <c r="E42" s="2">
        <v>6.5063842174801296</v>
      </c>
      <c r="F42" s="2">
        <v>7.9810939705786099</v>
      </c>
      <c r="G42" s="2">
        <v>3.0733199170280998</v>
      </c>
      <c r="H42" s="2" t="s">
        <v>35</v>
      </c>
    </row>
    <row r="43" spans="1:8" ht="17" x14ac:dyDescent="0.2">
      <c r="A43" s="1" t="s">
        <v>51</v>
      </c>
      <c r="B43" s="1">
        <f>VLOOKUP(A43,[1]globalMicroreact!$A:$K,11,FALSE)</f>
        <v>2</v>
      </c>
      <c r="C43" s="2">
        <v>3.5626949615860002</v>
      </c>
      <c r="D43" s="2">
        <v>0.29473897047924702</v>
      </c>
      <c r="E43" s="2">
        <v>0.481020111610028</v>
      </c>
      <c r="F43" s="2">
        <v>0.39495994795543798</v>
      </c>
      <c r="G43" s="2">
        <v>3.12087714119619</v>
      </c>
      <c r="H43" s="2" t="s">
        <v>35</v>
      </c>
    </row>
    <row r="44" spans="1:8" ht="17" x14ac:dyDescent="0.2">
      <c r="A44" s="1" t="s">
        <v>52</v>
      </c>
      <c r="B44" s="1">
        <f>VLOOKUP(A44,[1]globalMicroreact!$A:$K,11,FALSE)</f>
        <v>3</v>
      </c>
      <c r="C44" s="2">
        <v>4.0581314025207504</v>
      </c>
      <c r="D44" s="2">
        <v>3.2921451591881201</v>
      </c>
      <c r="E44" s="2">
        <v>6.4526060604322399</v>
      </c>
      <c r="F44" s="2">
        <v>8.9613635919893504</v>
      </c>
      <c r="G44" s="2">
        <v>5.4769875728380697</v>
      </c>
      <c r="H44" s="2" t="s">
        <v>35</v>
      </c>
    </row>
    <row r="45" spans="1:8" ht="17" x14ac:dyDescent="0.2">
      <c r="A45" s="1" t="s">
        <v>53</v>
      </c>
      <c r="B45" s="1">
        <f>VLOOKUP(A45,[1]globalMicroreact!$A:$K,11,FALSE)</f>
        <v>3</v>
      </c>
      <c r="C45" s="2">
        <v>4.5272939441915101</v>
      </c>
      <c r="D45" s="2">
        <v>0.82934082193386305</v>
      </c>
      <c r="E45" s="2">
        <v>5.6665419305994202</v>
      </c>
      <c r="F45" s="2">
        <v>1.4951177503431501</v>
      </c>
      <c r="G45" s="2">
        <v>0.25612539147160701</v>
      </c>
      <c r="H45" s="2" t="s">
        <v>35</v>
      </c>
    </row>
    <row r="46" spans="1:8" ht="17" x14ac:dyDescent="0.2">
      <c r="A46" s="1" t="s">
        <v>54</v>
      </c>
      <c r="B46" s="1">
        <f>VLOOKUP(A46,[1]globalMicroreact!$A:$K,11,FALSE)</f>
        <v>1</v>
      </c>
      <c r="C46" s="2">
        <v>4.2934337437817698</v>
      </c>
      <c r="D46" s="2">
        <v>1.0011891002859701</v>
      </c>
      <c r="E46" s="2">
        <v>5.9861878016931698</v>
      </c>
      <c r="F46" s="2">
        <v>1.70348912850865</v>
      </c>
      <c r="G46" s="2">
        <v>-0.17964833844240799</v>
      </c>
      <c r="H46" s="2" t="s">
        <v>35</v>
      </c>
    </row>
    <row r="47" spans="1:8" ht="17" x14ac:dyDescent="0.2">
      <c r="A47" s="1" t="s">
        <v>55</v>
      </c>
      <c r="B47" s="1">
        <f>VLOOKUP(A47,[1]globalMicroreact!$A:$K,11,FALSE)</f>
        <v>3</v>
      </c>
      <c r="C47" s="2">
        <v>3.8156966323987702</v>
      </c>
      <c r="D47" s="2">
        <v>0.22930475417888299</v>
      </c>
      <c r="E47" s="2">
        <v>6.6019384964363702E-3</v>
      </c>
      <c r="F47" s="2">
        <v>0.18898379846600599</v>
      </c>
      <c r="G47" s="2">
        <v>3.42752690115559</v>
      </c>
      <c r="H47" s="2" t="s">
        <v>35</v>
      </c>
    </row>
    <row r="48" spans="1:8" ht="17" x14ac:dyDescent="0.2">
      <c r="A48" s="1" t="s">
        <v>56</v>
      </c>
      <c r="B48" s="1">
        <f>VLOOKUP(A48,[1]globalMicroreact!$A:$K,11,FALSE)</f>
        <v>3</v>
      </c>
      <c r="C48" s="2">
        <v>3.96736887831569</v>
      </c>
      <c r="D48" s="2">
        <v>0.30409910236603699</v>
      </c>
      <c r="E48" s="2">
        <v>-0.13620125314753601</v>
      </c>
      <c r="F48" s="2">
        <v>0.25153874019575201</v>
      </c>
      <c r="G48" s="2">
        <v>3.6069148725971001</v>
      </c>
      <c r="H48" s="2" t="s">
        <v>35</v>
      </c>
    </row>
    <row r="49" spans="1:8" ht="17" x14ac:dyDescent="0.2">
      <c r="A49" s="1" t="s">
        <v>57</v>
      </c>
      <c r="B49" s="1">
        <f>VLOOKUP(A49,[1]globalMicroreact!$A:$K,11,FALSE)</f>
        <v>3</v>
      </c>
      <c r="C49" s="2">
        <v>3.1836428926160898</v>
      </c>
      <c r="D49" s="2">
        <v>0.54476216096822505</v>
      </c>
      <c r="E49" s="2">
        <v>5.7478568966833299</v>
      </c>
      <c r="F49" s="2">
        <v>1.5579029717845401</v>
      </c>
      <c r="G49" s="2">
        <v>3.4746691317421301</v>
      </c>
      <c r="H49" s="2" t="s">
        <v>35</v>
      </c>
    </row>
    <row r="50" spans="1:8" ht="17" x14ac:dyDescent="0.2">
      <c r="A50" s="1" t="s">
        <v>58</v>
      </c>
      <c r="B50" s="1">
        <f>VLOOKUP(A50,[1]globalMicroreact!$A:$K,11,FALSE)</f>
        <v>3</v>
      </c>
      <c r="C50" s="2">
        <v>4.7526731574751402</v>
      </c>
      <c r="D50" s="2">
        <v>2.7186196474198399</v>
      </c>
      <c r="E50" s="2">
        <v>5.7796276975875598</v>
      </c>
      <c r="F50" s="2">
        <v>8.3888554473044401</v>
      </c>
      <c r="G50" s="2">
        <v>4.9793825768220996</v>
      </c>
      <c r="H50" s="2" t="s">
        <v>35</v>
      </c>
    </row>
    <row r="51" spans="1:8" ht="17" x14ac:dyDescent="0.2">
      <c r="A51" s="1" t="s">
        <v>59</v>
      </c>
      <c r="B51" s="1">
        <f>VLOOKUP(A51,[1]globalMicroreact!$A:$K,11,FALSE)</f>
        <v>3</v>
      </c>
      <c r="C51" s="2">
        <v>3.1256299318111802</v>
      </c>
      <c r="D51" s="2">
        <v>-2.83325918415448E-2</v>
      </c>
      <c r="E51" s="2">
        <v>5.0535154861315199</v>
      </c>
      <c r="F51" s="2">
        <v>1.1395000495236001</v>
      </c>
      <c r="G51" s="2">
        <v>3.4499343335302299</v>
      </c>
      <c r="H51" s="2" t="s">
        <v>35</v>
      </c>
    </row>
    <row r="52" spans="1:8" ht="17" x14ac:dyDescent="0.2">
      <c r="A52" s="1" t="s">
        <v>60</v>
      </c>
      <c r="B52" s="1">
        <f>VLOOKUP(A52,[1]globalMicroreact!$A:$K,11,FALSE)</f>
        <v>1</v>
      </c>
      <c r="C52" s="2">
        <v>3.2227179402648298</v>
      </c>
      <c r="D52" s="2">
        <v>8.0983780659664895</v>
      </c>
      <c r="E52" s="2">
        <v>6.4355949056433301</v>
      </c>
      <c r="F52" s="2">
        <v>8.7242865040980693</v>
      </c>
      <c r="G52" s="2">
        <v>5.0936392444193199</v>
      </c>
      <c r="H52" s="2" t="s">
        <v>35</v>
      </c>
    </row>
    <row r="53" spans="1:8" ht="17" x14ac:dyDescent="0.2">
      <c r="A53" s="1" t="s">
        <v>61</v>
      </c>
      <c r="B53" s="1">
        <f>VLOOKUP(A53,[1]globalMicroreact!$A:$K,11,FALSE)</f>
        <v>4</v>
      </c>
      <c r="C53" s="2">
        <v>4.4727672219388204</v>
      </c>
      <c r="D53" s="2">
        <v>2.6992402392580699</v>
      </c>
      <c r="E53" s="2">
        <v>5.8260714802763003</v>
      </c>
      <c r="F53" s="2">
        <v>8.3354897863216397</v>
      </c>
      <c r="G53" s="2">
        <v>5.67404284504443</v>
      </c>
      <c r="H53" s="2" t="s">
        <v>35</v>
      </c>
    </row>
    <row r="54" spans="1:8" ht="17" x14ac:dyDescent="0.2">
      <c r="A54" s="1" t="s">
        <v>62</v>
      </c>
      <c r="B54" s="1">
        <f>VLOOKUP(A54,[1]globalMicroreact!$A:$K,11,FALSE)</f>
        <v>3</v>
      </c>
      <c r="C54" s="2">
        <v>4.86908743852982</v>
      </c>
      <c r="D54" s="2">
        <v>3.4687396261289098</v>
      </c>
      <c r="E54" s="2">
        <v>6.4330931549024699</v>
      </c>
      <c r="F54" s="2">
        <v>9.0404588959780696</v>
      </c>
      <c r="G54" s="2">
        <v>4.3100537597379001</v>
      </c>
      <c r="H54" s="2" t="s">
        <v>35</v>
      </c>
    </row>
    <row r="55" spans="1:8" ht="17" x14ac:dyDescent="0.2">
      <c r="A55" s="1" t="s">
        <v>63</v>
      </c>
      <c r="B55" s="1">
        <f>VLOOKUP(A55,[1]globalMicroreact!$A:$K,11,FALSE)</f>
        <v>4</v>
      </c>
      <c r="C55" s="2">
        <v>4.8709730083362697</v>
      </c>
      <c r="D55" s="2">
        <v>3.01645611747364</v>
      </c>
      <c r="E55" s="2">
        <v>6.2408022216137899</v>
      </c>
      <c r="F55" s="2">
        <v>8.6785571874595497</v>
      </c>
      <c r="G55" s="2">
        <v>5.7759543966283697</v>
      </c>
      <c r="H55" s="2" t="s">
        <v>35</v>
      </c>
    </row>
    <row r="56" spans="1:8" ht="17" x14ac:dyDescent="0.2">
      <c r="A56" s="1" t="s">
        <v>64</v>
      </c>
      <c r="B56" s="1">
        <f>VLOOKUP(A56,[1]globalMicroreact!$A:$K,11,FALSE)</f>
        <v>4</v>
      </c>
      <c r="C56" s="2">
        <v>5.1954913841922004</v>
      </c>
      <c r="D56" s="2">
        <v>5.06688176915904</v>
      </c>
      <c r="E56" s="2">
        <v>6.1305147445656001</v>
      </c>
      <c r="F56" s="2">
        <v>8.0044672062555406</v>
      </c>
      <c r="G56" s="2">
        <v>3.8875993473014301</v>
      </c>
      <c r="H56" s="2" t="s">
        <v>35</v>
      </c>
    </row>
    <row r="57" spans="1:8" ht="17" x14ac:dyDescent="0.2">
      <c r="A57" s="1" t="s">
        <v>65</v>
      </c>
      <c r="B57" s="1">
        <f>VLOOKUP(A57,[1]globalMicroreact!$A:$K,11,FALSE)</f>
        <v>4</v>
      </c>
      <c r="C57" s="2">
        <v>3.52945695720876</v>
      </c>
      <c r="D57" s="2">
        <v>2.1635965691622299</v>
      </c>
      <c r="E57" s="2">
        <v>2.0934394516992199</v>
      </c>
      <c r="F57" s="2">
        <v>7.9654405128231298</v>
      </c>
      <c r="G57" s="2">
        <v>3.4852926491388301</v>
      </c>
      <c r="H57" s="2" t="s">
        <v>35</v>
      </c>
    </row>
    <row r="58" spans="1:8" ht="17" x14ac:dyDescent="0.2">
      <c r="A58" s="1" t="s">
        <v>66</v>
      </c>
      <c r="B58" s="1">
        <f>VLOOKUP(A58,[1]globalMicroreact!$A:$K,11,FALSE)</f>
        <v>1</v>
      </c>
      <c r="C58" s="2">
        <v>2.7698191424716998</v>
      </c>
      <c r="D58" s="2">
        <v>2.60967504407061</v>
      </c>
      <c r="E58" s="2">
        <v>5.5101855227256404</v>
      </c>
      <c r="F58" s="2">
        <v>7.7259062795642297</v>
      </c>
      <c r="G58" s="2">
        <v>3.5070720626483598</v>
      </c>
      <c r="H58" s="2" t="s">
        <v>35</v>
      </c>
    </row>
    <row r="59" spans="1:8" ht="17" x14ac:dyDescent="0.2">
      <c r="A59" s="1" t="s">
        <v>67</v>
      </c>
      <c r="B59" s="1">
        <f>VLOOKUP(A59,[1]globalMicroreact!$A:$K,11,FALSE)</f>
        <v>3</v>
      </c>
      <c r="C59" s="2">
        <v>3.0532790034008199</v>
      </c>
      <c r="D59" s="2">
        <v>2.92895288572192</v>
      </c>
      <c r="E59" s="2">
        <v>5.5644365472726296</v>
      </c>
      <c r="F59" s="2">
        <v>8.8396366404577993</v>
      </c>
      <c r="G59" s="2">
        <v>5.5903313643727603</v>
      </c>
      <c r="H59" s="2" t="s">
        <v>35</v>
      </c>
    </row>
    <row r="60" spans="1:8" ht="17" x14ac:dyDescent="0.2">
      <c r="A60" s="1" t="s">
        <v>68</v>
      </c>
      <c r="B60" s="1">
        <f>VLOOKUP(A60,[1]globalMicroreact!$A:$K,11,FALSE)</f>
        <v>3</v>
      </c>
      <c r="C60" s="2">
        <v>4.91181885210068</v>
      </c>
      <c r="D60" s="2">
        <v>3.0417325425372299</v>
      </c>
      <c r="E60" s="2">
        <v>6.4163951731005202</v>
      </c>
      <c r="F60" s="2">
        <v>8.7008749353447996</v>
      </c>
      <c r="G60" s="2">
        <v>4.9080660964690503</v>
      </c>
      <c r="H60" s="2" t="s">
        <v>35</v>
      </c>
    </row>
    <row r="61" spans="1:8" ht="17" x14ac:dyDescent="0.2">
      <c r="A61" s="1" t="s">
        <v>69</v>
      </c>
      <c r="B61" s="1">
        <f>VLOOKUP(A61,[1]globalMicroreact!$A:$K,11,FALSE)</f>
        <v>2</v>
      </c>
      <c r="C61" s="2">
        <v>0.94995756290657796</v>
      </c>
      <c r="D61" s="2">
        <v>3.2210767399322</v>
      </c>
      <c r="E61" s="2">
        <v>2.5419440582666399</v>
      </c>
      <c r="F61" s="2">
        <v>2.1165752550826298</v>
      </c>
      <c r="G61" s="2">
        <v>2.2084462650299801</v>
      </c>
      <c r="H61" s="2" t="s">
        <v>35</v>
      </c>
    </row>
    <row r="62" spans="1:8" ht="17" x14ac:dyDescent="0.2">
      <c r="A62" s="1" t="s">
        <v>70</v>
      </c>
      <c r="B62" s="1">
        <f>VLOOKUP(A62,[1]globalMicroreact!$A:$K,11,FALSE)</f>
        <v>3</v>
      </c>
      <c r="C62" s="2">
        <v>2.6137615824706901</v>
      </c>
      <c r="D62" s="2">
        <v>3.9226786960020501</v>
      </c>
      <c r="E62" s="2">
        <v>2.9849118902842902</v>
      </c>
      <c r="F62" s="2">
        <v>2.41663994767169</v>
      </c>
      <c r="G62" s="2">
        <v>2.36996836972695</v>
      </c>
      <c r="H62" s="2" t="s">
        <v>35</v>
      </c>
    </row>
    <row r="63" spans="1:8" ht="17" x14ac:dyDescent="0.2">
      <c r="A63" s="1" t="s">
        <v>71</v>
      </c>
      <c r="B63" s="1">
        <f>VLOOKUP(A63,[1]globalMicroreact!$A:$K,11,FALSE)</f>
        <v>2</v>
      </c>
      <c r="C63" s="2">
        <v>2.5486905748789699</v>
      </c>
      <c r="D63" s="2">
        <v>0.35147907289876501</v>
      </c>
      <c r="E63" s="2">
        <v>0.44442733873698598</v>
      </c>
      <c r="F63" s="2">
        <v>1.05185776196417</v>
      </c>
      <c r="G63" s="2">
        <v>3.0017145445800599</v>
      </c>
      <c r="H63" s="2" t="s">
        <v>35</v>
      </c>
    </row>
    <row r="64" spans="1:8" ht="17" x14ac:dyDescent="0.2">
      <c r="A64" s="1" t="s">
        <v>72</v>
      </c>
      <c r="B64" s="1">
        <f>VLOOKUP(A64,[1]globalMicroreact!$A:$K,11,FALSE)</f>
        <v>4</v>
      </c>
      <c r="C64" s="2">
        <v>1.5406007668973101</v>
      </c>
      <c r="D64" s="2">
        <v>-2.8992047147106698E-2</v>
      </c>
      <c r="E64" s="2">
        <v>1.13818307796106</v>
      </c>
      <c r="F64" s="2">
        <v>0.994009484430181</v>
      </c>
      <c r="G64" s="2">
        <v>1.32920538386724</v>
      </c>
      <c r="H64" s="2" t="s">
        <v>35</v>
      </c>
    </row>
    <row r="65" spans="1:8" ht="17" x14ac:dyDescent="0.2">
      <c r="A65" s="1" t="s">
        <v>73</v>
      </c>
      <c r="B65" s="1">
        <f>VLOOKUP(A65,[1]globalMicroreact!$A:$K,11,FALSE)</f>
        <v>1</v>
      </c>
      <c r="C65" s="2">
        <v>3.9069769884686401</v>
      </c>
      <c r="D65" s="2">
        <v>1.33080338867322</v>
      </c>
      <c r="E65" s="2">
        <v>6.2874613431518398</v>
      </c>
      <c r="F65" s="2">
        <v>2.10035559969181</v>
      </c>
      <c r="G65" s="2">
        <v>3.9510409239921902</v>
      </c>
      <c r="H65" s="2" t="s">
        <v>35</v>
      </c>
    </row>
    <row r="66" spans="1:8" ht="17" x14ac:dyDescent="0.2">
      <c r="A66" s="1" t="s">
        <v>74</v>
      </c>
      <c r="B66" s="1">
        <f>VLOOKUP(A66,[1]globalMicroreact!$A:$K,11,FALSE)</f>
        <v>2</v>
      </c>
      <c r="C66" s="2">
        <v>3.92670228966736</v>
      </c>
      <c r="D66" s="2">
        <v>0.71763318462592096</v>
      </c>
      <c r="E66" s="2">
        <v>0.487310992396849</v>
      </c>
      <c r="F66" s="2">
        <v>0.41237155017312199</v>
      </c>
      <c r="G66" s="2">
        <v>3.8562611331042902</v>
      </c>
      <c r="H66" s="2" t="s">
        <v>35</v>
      </c>
    </row>
    <row r="67" spans="1:8" ht="17" x14ac:dyDescent="0.2">
      <c r="A67" s="1" t="s">
        <v>75</v>
      </c>
      <c r="B67" s="1">
        <f>VLOOKUP(A67,[1]globalMicroreact!$A:$K,11,FALSE)</f>
        <v>4</v>
      </c>
      <c r="C67" s="2">
        <v>2.8139915689197101</v>
      </c>
      <c r="D67" s="2">
        <v>1.07295950182308</v>
      </c>
      <c r="E67" s="2">
        <v>1.17604493626985</v>
      </c>
      <c r="F67" s="2">
        <v>1.13216747443489</v>
      </c>
      <c r="G67" s="2">
        <v>3.5304553719444698</v>
      </c>
      <c r="H67" s="2" t="s">
        <v>35</v>
      </c>
    </row>
    <row r="68" spans="1:8" ht="17" x14ac:dyDescent="0.2">
      <c r="A68" s="1" t="s">
        <v>76</v>
      </c>
      <c r="B68" s="1">
        <f>VLOOKUP(A68,[1]globalMicroreact!$A:$K,11,FALSE)</f>
        <v>4</v>
      </c>
      <c r="C68" s="2">
        <v>4.2244912654217597</v>
      </c>
      <c r="D68" s="2">
        <v>8.3441115780623001</v>
      </c>
      <c r="E68" s="2">
        <v>6.6938857605367197</v>
      </c>
      <c r="F68" s="2">
        <v>9.0311681628150904</v>
      </c>
      <c r="G68" s="2">
        <v>5.7864305082537202</v>
      </c>
      <c r="H68" s="2" t="s">
        <v>35</v>
      </c>
    </row>
    <row r="69" spans="1:8" ht="17" x14ac:dyDescent="0.2">
      <c r="A69" s="1" t="s">
        <v>77</v>
      </c>
      <c r="B69" s="1">
        <f>VLOOKUP(A69,[1]globalMicroreact!$A:$K,11,FALSE)</f>
        <v>3</v>
      </c>
      <c r="C69" s="2">
        <v>4.2654478013806898</v>
      </c>
      <c r="D69" s="2">
        <v>8.3907246894151903</v>
      </c>
      <c r="E69" s="2">
        <v>6.8505660523093104</v>
      </c>
      <c r="F69" s="2">
        <v>9.0903037536109395</v>
      </c>
      <c r="G69" s="2">
        <v>5.78838187046816</v>
      </c>
      <c r="H69" s="2" t="s">
        <v>35</v>
      </c>
    </row>
    <row r="70" spans="1:8" ht="17" x14ac:dyDescent="0.2">
      <c r="A70" s="1" t="s">
        <v>78</v>
      </c>
      <c r="B70" s="1">
        <f>VLOOKUP(A70,[1]globalMicroreact!$A:$K,11,FALSE)</f>
        <v>4</v>
      </c>
      <c r="C70" s="2">
        <v>0.55053711596192201</v>
      </c>
      <c r="D70" s="2">
        <v>1.84320181715525</v>
      </c>
      <c r="E70" s="2">
        <v>2.30390488394728</v>
      </c>
      <c r="F70" s="2">
        <v>2.73301001112213</v>
      </c>
      <c r="G70" s="2">
        <v>-2.02355666303801</v>
      </c>
      <c r="H70" s="2" t="s">
        <v>35</v>
      </c>
    </row>
    <row r="71" spans="1:8" ht="17" x14ac:dyDescent="0.2">
      <c r="A71" s="1" t="s">
        <v>79</v>
      </c>
      <c r="B71" s="1">
        <f>VLOOKUP(A71,[1]globalMicroreact!$A:$K,11,FALSE)</f>
        <v>1</v>
      </c>
      <c r="C71" s="2">
        <v>-0.94291211826100096</v>
      </c>
      <c r="D71" s="2">
        <v>0.43556067791620401</v>
      </c>
      <c r="E71" s="2">
        <v>0.30513597636474599</v>
      </c>
      <c r="F71" s="2">
        <v>-0.65121364842156004</v>
      </c>
      <c r="G71" s="2">
        <v>-2.26931700496616</v>
      </c>
      <c r="H71" s="2" t="s">
        <v>80</v>
      </c>
    </row>
    <row r="72" spans="1:8" ht="17" x14ac:dyDescent="0.2">
      <c r="A72" s="1" t="s">
        <v>81</v>
      </c>
      <c r="B72" s="1">
        <f>VLOOKUP(A72,[1]globalMicroreact!$A:$K,11,FALSE)</f>
        <v>2</v>
      </c>
      <c r="C72" s="2">
        <v>-1.19084289288154</v>
      </c>
      <c r="D72" s="2">
        <v>0.99195740454852499</v>
      </c>
      <c r="E72" s="2">
        <v>3.6109233132862399E-2</v>
      </c>
      <c r="F72" s="2">
        <v>-0.46681703832966398</v>
      </c>
      <c r="G72" s="2">
        <v>-1.96469012025475</v>
      </c>
      <c r="H72" s="2" t="s">
        <v>80</v>
      </c>
    </row>
    <row r="73" spans="1:8" ht="17" x14ac:dyDescent="0.2">
      <c r="A73" s="1" t="s">
        <v>82</v>
      </c>
      <c r="B73" s="1">
        <f>VLOOKUP(A73,[1]globalMicroreact!$A:$K,11,FALSE)</f>
        <v>2</v>
      </c>
      <c r="C73" s="2">
        <v>-1.89406590108756</v>
      </c>
      <c r="D73" s="2">
        <v>0.63847963562466803</v>
      </c>
      <c r="E73" s="2">
        <v>4.8133267519721301E-2</v>
      </c>
      <c r="F73" s="2">
        <v>-0.61898161440343302</v>
      </c>
      <c r="G73" s="2">
        <v>-3.0691513880710399</v>
      </c>
      <c r="H73" s="2" t="s">
        <v>80</v>
      </c>
    </row>
    <row r="74" spans="1:8" ht="17" x14ac:dyDescent="0.2">
      <c r="A74" s="1" t="s">
        <v>83</v>
      </c>
      <c r="B74" s="1">
        <f>VLOOKUP(A74,[1]globalMicroreact!$A:$K,11,FALSE)</f>
        <v>2</v>
      </c>
      <c r="C74" s="2">
        <v>-1.41411224782349</v>
      </c>
      <c r="D74" s="2">
        <v>0.94314313145034401</v>
      </c>
      <c r="E74" s="2">
        <v>0.12739064085393401</v>
      </c>
      <c r="F74" s="2">
        <v>1.6781977569894399E-2</v>
      </c>
      <c r="G74" s="2">
        <v>-2.2234749465725701</v>
      </c>
      <c r="H74" s="2" t="s">
        <v>80</v>
      </c>
    </row>
    <row r="75" spans="1:8" ht="17" x14ac:dyDescent="0.2">
      <c r="A75" s="1" t="s">
        <v>84</v>
      </c>
      <c r="B75" s="1">
        <f>VLOOKUP(A75,[1]globalMicroreact!$A:$K,11,FALSE)</f>
        <v>3</v>
      </c>
      <c r="C75" s="2">
        <v>-2.3124467369745698</v>
      </c>
      <c r="D75" s="2">
        <v>-1.0624537197120301</v>
      </c>
      <c r="E75" s="2">
        <v>-0.95491300665583001</v>
      </c>
      <c r="F75" s="2">
        <v>-1.0390108852264801</v>
      </c>
      <c r="G75" s="2">
        <v>-3.0112807228524998</v>
      </c>
      <c r="H75" s="2" t="s">
        <v>80</v>
      </c>
    </row>
    <row r="76" spans="1:8" ht="17" x14ac:dyDescent="0.2">
      <c r="A76" s="1" t="s">
        <v>85</v>
      </c>
      <c r="B76" s="1">
        <f>VLOOKUP(A76,[1]globalMicroreact!$A:$K,11,FALSE)</f>
        <v>2</v>
      </c>
      <c r="C76" s="2">
        <v>2.4479834944735899</v>
      </c>
      <c r="D76" s="2">
        <v>1.04359086283511</v>
      </c>
      <c r="E76" s="2">
        <v>1.6863530695153901</v>
      </c>
      <c r="F76" s="2">
        <v>1.1819966596766001</v>
      </c>
      <c r="G76" s="2">
        <v>4.4521399306496701</v>
      </c>
      <c r="H76" s="2" t="s">
        <v>35</v>
      </c>
    </row>
    <row r="77" spans="1:8" ht="17" x14ac:dyDescent="0.2">
      <c r="A77" s="1" t="s">
        <v>86</v>
      </c>
      <c r="B77" s="1">
        <f>VLOOKUP(A77,[1]globalMicroreact!$A:$K,11,FALSE)</f>
        <v>3</v>
      </c>
      <c r="C77" s="2">
        <v>-1.938600261213</v>
      </c>
      <c r="D77" s="2">
        <v>0.86999482855691601</v>
      </c>
      <c r="E77" s="2">
        <v>0.20115124953897401</v>
      </c>
      <c r="F77" s="2">
        <v>-1.6250631889862002E-2</v>
      </c>
      <c r="G77" s="2">
        <v>-3.2301839857255001</v>
      </c>
      <c r="H77" s="2" t="s">
        <v>80</v>
      </c>
    </row>
    <row r="78" spans="1:8" ht="17" x14ac:dyDescent="0.2">
      <c r="A78" s="1" t="s">
        <v>87</v>
      </c>
      <c r="B78" s="1">
        <f>VLOOKUP(A78,[1]globalMicroreact!$A:$K,11,FALSE)</f>
        <v>4</v>
      </c>
      <c r="C78" s="2">
        <v>-2.9145336106189599</v>
      </c>
      <c r="D78" s="2">
        <v>-1.5322363790331299</v>
      </c>
      <c r="E78" s="2">
        <v>-1.01076022734037</v>
      </c>
      <c r="F78" s="2">
        <v>-1.3050483710419001</v>
      </c>
      <c r="G78" s="2">
        <v>-3.26749918142505</v>
      </c>
      <c r="H78" s="2" t="s">
        <v>80</v>
      </c>
    </row>
    <row r="79" spans="1:8" ht="17" x14ac:dyDescent="0.2">
      <c r="A79" s="1" t="s">
        <v>88</v>
      </c>
      <c r="B79" s="1">
        <f>VLOOKUP(A79,[1]globalMicroreact!$A:$K,11,FALSE)</f>
        <v>1</v>
      </c>
      <c r="C79" s="2">
        <v>-1.2838051825975001</v>
      </c>
      <c r="D79" s="2">
        <v>0.22834605300060101</v>
      </c>
      <c r="E79" s="2">
        <v>0.35752231626511699</v>
      </c>
      <c r="F79" s="2">
        <v>-0.325825811577448</v>
      </c>
      <c r="G79" s="2">
        <v>-2.4241082569061998</v>
      </c>
      <c r="H79" s="2" t="s">
        <v>80</v>
      </c>
    </row>
    <row r="80" spans="1:8" ht="17" x14ac:dyDescent="0.2">
      <c r="A80" s="1" t="s">
        <v>89</v>
      </c>
      <c r="B80" s="1">
        <f>VLOOKUP(A80,[1]globalMicroreact!$A:$K,11,FALSE)</f>
        <v>3</v>
      </c>
      <c r="C80" s="2">
        <v>-1.94829375558775</v>
      </c>
      <c r="D80" s="2">
        <v>-0.75782792058437498</v>
      </c>
      <c r="E80" s="2">
        <v>-0.76327048967117495</v>
      </c>
      <c r="F80" s="2">
        <v>-0.99584844011412699</v>
      </c>
      <c r="G80" s="2">
        <v>-2.6748815441871199</v>
      </c>
      <c r="H80" s="2" t="s">
        <v>80</v>
      </c>
    </row>
    <row r="81" spans="1:8" ht="17" x14ac:dyDescent="0.2">
      <c r="A81" s="1" t="s">
        <v>90</v>
      </c>
      <c r="B81" s="1">
        <f>VLOOKUP(A81,[1]globalMicroreact!$A:$K,11,FALSE)</f>
        <v>1</v>
      </c>
      <c r="C81" s="2">
        <v>-2.2200822246640302</v>
      </c>
      <c r="D81" s="2">
        <v>-0.56518732537272198</v>
      </c>
      <c r="E81" s="2">
        <v>-0.51986334022271696</v>
      </c>
      <c r="F81" s="2">
        <v>-0.52322729659575595</v>
      </c>
      <c r="G81" s="2">
        <v>-2.77646293108244</v>
      </c>
      <c r="H81" s="2" t="s">
        <v>80</v>
      </c>
    </row>
    <row r="82" spans="1:8" ht="17" x14ac:dyDescent="0.2">
      <c r="A82" s="3" t="s">
        <v>91</v>
      </c>
      <c r="B82" s="1">
        <f>VLOOKUP(A82,[1]globalMicroreact!$A:$K,11,FALSE)</f>
        <v>4</v>
      </c>
      <c r="C82" s="2">
        <v>-1.4181097832383101</v>
      </c>
      <c r="D82" s="2">
        <v>0.258787182967401</v>
      </c>
      <c r="E82" s="2">
        <v>0.21364536698471601</v>
      </c>
      <c r="F82" s="2">
        <v>-0.42727874565370499</v>
      </c>
      <c r="G82" s="2">
        <v>-2.7650398133954202</v>
      </c>
      <c r="H82" s="2" t="s">
        <v>80</v>
      </c>
    </row>
    <row r="83" spans="1:8" ht="17" x14ac:dyDescent="0.2">
      <c r="A83" s="1" t="s">
        <v>92</v>
      </c>
      <c r="B83" s="1">
        <f>VLOOKUP(A83,[1]globalMicroreact!$A:$K,11,FALSE)</f>
        <v>4</v>
      </c>
      <c r="C83" s="2">
        <v>-2.5653724628310499</v>
      </c>
      <c r="D83" s="2">
        <v>-0.31072833331356298</v>
      </c>
      <c r="E83" s="2">
        <v>-6.6643885078450996E-2</v>
      </c>
      <c r="F83" s="2">
        <v>-0.32483490295184397</v>
      </c>
      <c r="G83" s="2">
        <v>-2.60466454389617</v>
      </c>
      <c r="H83" s="2" t="s">
        <v>80</v>
      </c>
    </row>
    <row r="84" spans="1:8" ht="17" x14ac:dyDescent="0.2">
      <c r="A84" s="1" t="s">
        <v>93</v>
      </c>
      <c r="B84" s="1">
        <f>VLOOKUP(A84,[1]globalMicroreact!$A:$K,11,FALSE)</f>
        <v>4</v>
      </c>
      <c r="C84" s="2">
        <v>-2.6673490461270002</v>
      </c>
      <c r="D84" s="2">
        <v>-1.71277154513121</v>
      </c>
      <c r="E84" s="2">
        <v>-1.52571856654575</v>
      </c>
      <c r="F84" s="2">
        <v>-0.73008653529662504</v>
      </c>
      <c r="G84" s="2">
        <v>-2.28955106876974</v>
      </c>
      <c r="H84" s="2" t="s">
        <v>80</v>
      </c>
    </row>
    <row r="85" spans="1:8" ht="17" x14ac:dyDescent="0.2">
      <c r="A85" s="1" t="s">
        <v>94</v>
      </c>
      <c r="B85" s="1">
        <f>VLOOKUP(A85,[1]globalMicroreact!$A:$K,11,FALSE)</f>
        <v>4</v>
      </c>
      <c r="C85" s="2">
        <v>-2.0167897717921401</v>
      </c>
      <c r="D85" s="2">
        <v>-0.80697117766969895</v>
      </c>
      <c r="E85" s="2">
        <v>0.79755555443243098</v>
      </c>
      <c r="F85" s="2">
        <v>-1.1667105635303301</v>
      </c>
      <c r="G85" s="2">
        <v>-1.0864588607212</v>
      </c>
      <c r="H85" s="2" t="s">
        <v>80</v>
      </c>
    </row>
    <row r="86" spans="1:8" ht="17" x14ac:dyDescent="0.2">
      <c r="A86" s="1" t="s">
        <v>95</v>
      </c>
      <c r="B86" s="1">
        <f>VLOOKUP(A86,[1]globalMicroreact!$A:$K,11,FALSE)</f>
        <v>4</v>
      </c>
      <c r="C86" s="2">
        <v>-0.64485604794262896</v>
      </c>
      <c r="D86" s="2">
        <v>1.1489321989482699</v>
      </c>
      <c r="E86" s="2">
        <v>0.438540876625509</v>
      </c>
      <c r="F86" s="2">
        <v>0.64032447494170097</v>
      </c>
      <c r="G86" s="2">
        <v>-1.77355594131241</v>
      </c>
      <c r="H86" s="2" t="s">
        <v>80</v>
      </c>
    </row>
    <row r="87" spans="1:8" ht="17" x14ac:dyDescent="0.2">
      <c r="A87" s="1" t="s">
        <v>96</v>
      </c>
      <c r="B87" s="1">
        <f>VLOOKUP(A87,[1]globalMicroreact!$A:$K,11,FALSE)</f>
        <v>4</v>
      </c>
      <c r="C87" s="2">
        <v>-0.91673817045321004</v>
      </c>
      <c r="D87" s="2">
        <v>0.85952406721534502</v>
      </c>
      <c r="E87" s="2">
        <v>1.4076157939313201</v>
      </c>
      <c r="F87" s="2">
        <v>1.97078956577093</v>
      </c>
      <c r="G87" s="2">
        <v>-1.9870858492856101</v>
      </c>
      <c r="H87" s="2" t="s">
        <v>80</v>
      </c>
    </row>
    <row r="88" spans="1:8" ht="17" x14ac:dyDescent="0.2">
      <c r="A88" s="1" t="s">
        <v>97</v>
      </c>
      <c r="B88" s="1">
        <f>VLOOKUP(A88,[1]globalMicroreact!$A:$K,11,FALSE)</f>
        <v>4</v>
      </c>
      <c r="C88" s="2">
        <v>-0.40824667877151</v>
      </c>
      <c r="D88" s="2">
        <v>1.29728230031114</v>
      </c>
      <c r="E88" s="2">
        <v>1.88027568334475</v>
      </c>
      <c r="F88" s="2">
        <v>0.528191779009064</v>
      </c>
      <c r="G88" s="2">
        <v>-1.13393420767266</v>
      </c>
      <c r="H88" s="2" t="s">
        <v>80</v>
      </c>
    </row>
    <row r="89" spans="1:8" ht="17" x14ac:dyDescent="0.2">
      <c r="A89" s="1" t="s">
        <v>98</v>
      </c>
      <c r="B89" s="1">
        <f>VLOOKUP(A89,[1]globalMicroreact!$A:$K,11,FALSE)</f>
        <v>1</v>
      </c>
      <c r="C89" s="2">
        <v>-1.3369834177528399</v>
      </c>
      <c r="D89" s="2">
        <v>0.176380629487987</v>
      </c>
      <c r="E89" s="2">
        <v>0.153951336363744</v>
      </c>
      <c r="F89" s="2">
        <v>-0.69350893324359897</v>
      </c>
      <c r="G89" s="2">
        <v>-2.72981965404324</v>
      </c>
      <c r="H89" s="2" t="s">
        <v>80</v>
      </c>
    </row>
    <row r="90" spans="1:8" ht="17" x14ac:dyDescent="0.2">
      <c r="A90" s="1" t="s">
        <v>99</v>
      </c>
      <c r="B90" s="1">
        <f>VLOOKUP(A90,[1]globalMicroreact!$A:$K,11,FALSE)</f>
        <v>3</v>
      </c>
      <c r="C90" s="2">
        <v>-2.1430085465356399</v>
      </c>
      <c r="D90" s="2">
        <v>-0.20389647660077201</v>
      </c>
      <c r="E90" s="2">
        <v>-0.39842304731307199</v>
      </c>
      <c r="F90" s="2">
        <v>-0.88062811412498798</v>
      </c>
      <c r="G90" s="2">
        <v>-2.6283074555189399</v>
      </c>
      <c r="H90" s="2" t="s">
        <v>80</v>
      </c>
    </row>
    <row r="91" spans="1:8" ht="17" x14ac:dyDescent="0.2">
      <c r="A91" s="1" t="s">
        <v>100</v>
      </c>
      <c r="B91" s="1">
        <f>VLOOKUP(A91,[1]globalMicroreact!$A:$K,11,FALSE)</f>
        <v>4</v>
      </c>
      <c r="C91" s="2">
        <v>-2.3948054058857902</v>
      </c>
      <c r="D91" s="2">
        <v>-0.27623399270585702</v>
      </c>
      <c r="E91" s="2">
        <v>0.648461190199764</v>
      </c>
      <c r="F91" s="2">
        <v>-0.155442407960004</v>
      </c>
      <c r="G91" s="2">
        <v>-2.5434366699337301</v>
      </c>
      <c r="H91" s="2" t="s">
        <v>80</v>
      </c>
    </row>
    <row r="92" spans="1:8" ht="17" x14ac:dyDescent="0.2">
      <c r="A92" s="1" t="s">
        <v>101</v>
      </c>
      <c r="B92" s="1">
        <f>VLOOKUP(A92,[1]globalMicroreact!$A:$K,11,FALSE)</f>
        <v>4</v>
      </c>
      <c r="C92" s="2">
        <v>-0.45952429715569498</v>
      </c>
      <c r="D92" s="2">
        <v>-0.80521262480072697</v>
      </c>
      <c r="E92" s="2">
        <v>0.414568941114142</v>
      </c>
      <c r="F92" s="2">
        <v>-1.0046159929407299</v>
      </c>
      <c r="G92" s="2">
        <v>-4.16462277054487E-2</v>
      </c>
      <c r="H92" s="2" t="s">
        <v>80</v>
      </c>
    </row>
    <row r="93" spans="1:8" ht="17" x14ac:dyDescent="0.2">
      <c r="A93" s="1" t="s">
        <v>102</v>
      </c>
      <c r="B93" s="1">
        <f>VLOOKUP(A93,[1]globalMicroreact!$A:$K,11,FALSE)</f>
        <v>5</v>
      </c>
      <c r="C93" s="2">
        <v>-2.33905536223322</v>
      </c>
      <c r="D93" s="2">
        <v>-0.50668658194331595</v>
      </c>
      <c r="E93" s="2">
        <v>-0.78544440890743406</v>
      </c>
      <c r="F93" s="2">
        <v>-0.66249415244729304</v>
      </c>
      <c r="G93" s="2">
        <v>-1.9698628397344899</v>
      </c>
      <c r="H93" s="2" t="s">
        <v>80</v>
      </c>
    </row>
    <row r="94" spans="1:8" ht="17" x14ac:dyDescent="0.2">
      <c r="A94" s="1" t="s">
        <v>103</v>
      </c>
      <c r="B94" s="1">
        <f>VLOOKUP(A94,[1]globalMicroreact!$A:$K,11,FALSE)</f>
        <v>3</v>
      </c>
      <c r="C94" s="2">
        <v>-3.0435457701095001</v>
      </c>
      <c r="D94" s="2">
        <v>-0.79753150034129505</v>
      </c>
      <c r="E94" s="2">
        <v>-0.88222565844517797</v>
      </c>
      <c r="F94" s="2">
        <v>-0.72910672853274905</v>
      </c>
      <c r="G94" s="2">
        <v>-2.8645063570284601</v>
      </c>
      <c r="H94" s="2" t="s">
        <v>80</v>
      </c>
    </row>
    <row r="95" spans="1:8" ht="17" x14ac:dyDescent="0.2">
      <c r="A95" s="1" t="s">
        <v>104</v>
      </c>
      <c r="B95" s="1">
        <f>VLOOKUP(A95,[1]globalMicroreact!$A:$K,11,FALSE)</f>
        <v>1</v>
      </c>
      <c r="C95" s="2">
        <v>-0.828700936175508</v>
      </c>
      <c r="D95" s="2">
        <v>0.89974578549357198</v>
      </c>
      <c r="E95" s="2">
        <v>0.51938973760750795</v>
      </c>
      <c r="F95" s="2">
        <v>0.91706408309250897</v>
      </c>
      <c r="G95" s="2">
        <v>0.26675292443436499</v>
      </c>
      <c r="H95" s="2" t="s">
        <v>80</v>
      </c>
    </row>
    <row r="96" spans="1:8" ht="17" x14ac:dyDescent="0.2">
      <c r="A96" s="1" t="s">
        <v>105</v>
      </c>
      <c r="B96" s="1">
        <f>VLOOKUP(A96,[1]globalMicroreact!$A:$K,11,FALSE)</f>
        <v>5</v>
      </c>
      <c r="C96" s="2">
        <v>-2.43701964974345</v>
      </c>
      <c r="D96" s="2">
        <v>0.299862384292504</v>
      </c>
      <c r="E96" s="2">
        <v>-0.37692639700733099</v>
      </c>
      <c r="F96" s="2">
        <v>0.49358674677589098</v>
      </c>
      <c r="G96" s="2">
        <v>-3.19624950341953</v>
      </c>
      <c r="H96" s="2" t="s">
        <v>80</v>
      </c>
    </row>
    <row r="97" spans="1:8" ht="17" x14ac:dyDescent="0.2">
      <c r="A97" s="1" t="s">
        <v>106</v>
      </c>
      <c r="B97" s="1">
        <f>VLOOKUP(A97,[1]globalMicroreact!$A:$K,11,FALSE)</f>
        <v>4</v>
      </c>
      <c r="C97" s="2">
        <v>-0.78243439966030104</v>
      </c>
      <c r="D97" s="2">
        <v>0.44459154641569398</v>
      </c>
      <c r="E97" s="2">
        <v>0.64121271695480497</v>
      </c>
      <c r="F97" s="2">
        <v>0.95587847199451303</v>
      </c>
      <c r="G97" s="2">
        <v>-2.3356059894230201</v>
      </c>
      <c r="H97" s="2" t="s">
        <v>80</v>
      </c>
    </row>
    <row r="98" spans="1:8" ht="17" x14ac:dyDescent="0.2">
      <c r="A98" s="1" t="s">
        <v>107</v>
      </c>
      <c r="B98" s="1">
        <f>VLOOKUP(A98,[1]globalMicroreact!$A:$K,11,FALSE)</f>
        <v>4</v>
      </c>
      <c r="C98" s="2">
        <v>-2.47304984317286</v>
      </c>
      <c r="D98" s="2">
        <v>7.9867163872122601E-2</v>
      </c>
      <c r="E98" s="2">
        <v>6.8827670833874602E-2</v>
      </c>
      <c r="F98" s="2">
        <v>-0.53147984332620501</v>
      </c>
      <c r="G98" s="2">
        <v>-1.9791282573523501</v>
      </c>
      <c r="H98" s="2" t="s">
        <v>80</v>
      </c>
    </row>
    <row r="99" spans="1:8" ht="17" x14ac:dyDescent="0.2">
      <c r="A99" s="1" t="s">
        <v>108</v>
      </c>
      <c r="B99" s="1">
        <f>VLOOKUP(A99,[1]globalMicroreact!$A:$K,11,FALSE)</f>
        <v>1</v>
      </c>
      <c r="C99" s="2">
        <v>-1.0278015438074899</v>
      </c>
      <c r="D99" s="2">
        <v>0.39524236075295699</v>
      </c>
      <c r="E99" s="2">
        <v>0.35114609080526199</v>
      </c>
      <c r="F99" s="2">
        <v>0.40774069349337899</v>
      </c>
      <c r="G99" s="2">
        <v>-2.5016976721347102</v>
      </c>
      <c r="H99" s="2" t="s">
        <v>80</v>
      </c>
    </row>
    <row r="100" spans="1:8" ht="17" x14ac:dyDescent="0.2">
      <c r="A100" s="1" t="s">
        <v>109</v>
      </c>
      <c r="B100" s="1">
        <f>VLOOKUP(A100,[1]globalMicroreact!$A:$K,11,FALSE)</f>
        <v>3</v>
      </c>
      <c r="C100" s="2">
        <v>-3.06708292518642</v>
      </c>
      <c r="D100" s="2">
        <v>-0.38906001847375199</v>
      </c>
      <c r="E100" s="2">
        <v>-0.75253188098713897</v>
      </c>
      <c r="F100" s="2">
        <v>-1.0993452747333099</v>
      </c>
      <c r="G100" s="2">
        <v>-2.2737247028518301</v>
      </c>
      <c r="H100" s="2" t="s">
        <v>80</v>
      </c>
    </row>
    <row r="101" spans="1:8" ht="17" x14ac:dyDescent="0.2">
      <c r="A101" s="1" t="s">
        <v>110</v>
      </c>
      <c r="B101" s="1">
        <f>VLOOKUP(A101,[1]globalMicroreact!$A:$K,11,FALSE)</f>
        <v>3</v>
      </c>
      <c r="C101" s="2">
        <v>-2.6584116931643398</v>
      </c>
      <c r="D101" s="2">
        <v>-3.5028361494556501E-2</v>
      </c>
      <c r="E101" s="2">
        <v>-0.51148505435987801</v>
      </c>
      <c r="F101" s="2">
        <v>-0.70613938133995502</v>
      </c>
      <c r="G101" s="2">
        <v>-2.8696101944725201</v>
      </c>
      <c r="H101" s="2" t="s">
        <v>80</v>
      </c>
    </row>
    <row r="102" spans="1:8" ht="17" x14ac:dyDescent="0.2">
      <c r="A102" s="1" t="s">
        <v>111</v>
      </c>
      <c r="B102" s="1">
        <f>VLOOKUP(A102,[1]globalMicroreact!$A:$K,11,FALSE)</f>
        <v>3</v>
      </c>
      <c r="C102" s="2">
        <v>-3.2083271095461598</v>
      </c>
      <c r="D102" s="2">
        <v>0.70201769665718905</v>
      </c>
      <c r="E102" s="2">
        <v>-7.7564790923597096E-2</v>
      </c>
      <c r="F102" s="2">
        <v>0.58728762286267699</v>
      </c>
      <c r="G102" s="2">
        <v>-2.0324002898310201</v>
      </c>
      <c r="H102" s="2" t="s">
        <v>80</v>
      </c>
    </row>
    <row r="103" spans="1:8" ht="17" x14ac:dyDescent="0.2">
      <c r="A103" s="1" t="s">
        <v>112</v>
      </c>
      <c r="B103" s="1">
        <f>VLOOKUP(A103,[1]globalMicroreact!$A:$K,11,FALSE)</f>
        <v>3</v>
      </c>
      <c r="C103" s="2">
        <v>-2.8726529818897899</v>
      </c>
      <c r="D103" s="2">
        <v>-1.73835909502588</v>
      </c>
      <c r="E103" s="2">
        <v>-1.17018228421138</v>
      </c>
      <c r="F103" s="2">
        <v>-1.0274184793783101</v>
      </c>
      <c r="G103" s="2">
        <v>-2.7435232281019402</v>
      </c>
      <c r="H103" s="2" t="s">
        <v>80</v>
      </c>
    </row>
    <row r="104" spans="1:8" ht="17" x14ac:dyDescent="0.2">
      <c r="A104" s="1" t="s">
        <v>113</v>
      </c>
      <c r="B104" s="1">
        <f>VLOOKUP(A104,[1]globalMicroreact!$A:$K,11,FALSE)</f>
        <v>4</v>
      </c>
      <c r="C104" s="2">
        <v>-2.3279901664792599</v>
      </c>
      <c r="D104" s="2">
        <v>-0.410745571857694</v>
      </c>
      <c r="E104" s="2">
        <v>-0.362172320791601</v>
      </c>
      <c r="F104" s="2">
        <v>-2.4065223278116801E-3</v>
      </c>
      <c r="G104" s="2">
        <v>-2.04390935206475</v>
      </c>
      <c r="H104" s="2" t="s">
        <v>80</v>
      </c>
    </row>
    <row r="105" spans="1:8" ht="17" x14ac:dyDescent="0.2">
      <c r="A105" s="1" t="s">
        <v>114</v>
      </c>
      <c r="B105" s="1">
        <f>VLOOKUP(A105,[1]globalMicroreact!$A:$K,11,FALSE)</f>
        <v>4</v>
      </c>
      <c r="C105" s="2">
        <v>-1.14868755419568</v>
      </c>
      <c r="D105" s="2">
        <v>-1.6172806049184301</v>
      </c>
      <c r="E105" s="2">
        <v>-0.39786152253988299</v>
      </c>
      <c r="F105" s="2">
        <v>-0.47983982973594203</v>
      </c>
      <c r="G105" s="2">
        <v>-2.7759933863320598</v>
      </c>
      <c r="H105" s="2" t="s">
        <v>80</v>
      </c>
    </row>
    <row r="106" spans="1:8" ht="17" x14ac:dyDescent="0.2">
      <c r="A106" s="1" t="s">
        <v>115</v>
      </c>
      <c r="B106" s="1">
        <f>VLOOKUP(A106,[1]globalMicroreact!$A:$K,11,FALSE)</f>
        <v>4</v>
      </c>
      <c r="C106" s="2">
        <v>-1.0259463755431499</v>
      </c>
      <c r="D106" s="2">
        <v>0.139462873570428</v>
      </c>
      <c r="E106" s="2">
        <v>0.17093147715708201</v>
      </c>
      <c r="F106" s="2">
        <v>-0.35125553975289803</v>
      </c>
      <c r="G106" s="2">
        <v>-1.0760987742678201</v>
      </c>
      <c r="H106" s="2" t="s">
        <v>80</v>
      </c>
    </row>
    <row r="107" spans="1:8" ht="17" x14ac:dyDescent="0.2">
      <c r="A107" s="1" t="s">
        <v>116</v>
      </c>
      <c r="B107" s="1">
        <f>VLOOKUP(A107,[1]globalMicroreact!$A:$K,11,FALSE)</f>
        <v>1</v>
      </c>
      <c r="C107" s="2">
        <v>-1.0245037309090601</v>
      </c>
      <c r="D107" s="2">
        <v>-0.23370901696219401</v>
      </c>
      <c r="E107" s="2">
        <v>-6.12084967817626E-2</v>
      </c>
      <c r="F107" s="2">
        <v>-0.231858206186767</v>
      </c>
      <c r="G107" s="2">
        <v>-1.32558162046244</v>
      </c>
      <c r="H107" s="2" t="s">
        <v>80</v>
      </c>
    </row>
    <row r="108" spans="1:8" ht="17" x14ac:dyDescent="0.2">
      <c r="A108" s="1" t="s">
        <v>117</v>
      </c>
      <c r="B108" s="1">
        <f>VLOOKUP(A108,[1]globalMicroreact!$A:$K,11,FALSE)</f>
        <v>5</v>
      </c>
      <c r="C108" s="2">
        <v>-1.8012837040962899</v>
      </c>
      <c r="D108" s="2">
        <v>0.34480369184536702</v>
      </c>
      <c r="E108" s="2">
        <v>-0.66996854716433996</v>
      </c>
      <c r="F108" s="2">
        <v>-0.14414460480479999</v>
      </c>
      <c r="G108" s="2">
        <v>-1.8669344659718301</v>
      </c>
      <c r="H108" s="2" t="s">
        <v>80</v>
      </c>
    </row>
    <row r="109" spans="1:8" ht="17" x14ac:dyDescent="0.2">
      <c r="A109" s="1" t="s">
        <v>118</v>
      </c>
      <c r="B109" s="1">
        <f>VLOOKUP(A109,[1]globalMicroreact!$A:$K,11,FALSE)</f>
        <v>5</v>
      </c>
      <c r="C109" s="2">
        <v>-1.2576581514037599</v>
      </c>
      <c r="D109" s="2">
        <v>7.8919655789879001E-3</v>
      </c>
      <c r="E109" s="2">
        <v>-0.198330385695343</v>
      </c>
      <c r="F109" s="2">
        <v>0.56563531173380499</v>
      </c>
      <c r="G109" s="2">
        <v>-2.5817201054490599</v>
      </c>
      <c r="H109" s="2" t="s">
        <v>80</v>
      </c>
    </row>
    <row r="110" spans="1:8" ht="17" x14ac:dyDescent="0.2">
      <c r="A110" s="1" t="s">
        <v>119</v>
      </c>
      <c r="B110" s="1">
        <f>VLOOKUP(A110,[1]globalMicroreact!$A:$K,11,FALSE)</f>
        <v>3</v>
      </c>
      <c r="C110" s="2">
        <v>-1.4529561015163699</v>
      </c>
      <c r="D110" s="2">
        <v>0.195934771905897</v>
      </c>
      <c r="E110" s="2">
        <v>-0.25740317424299503</v>
      </c>
      <c r="F110" s="2">
        <v>0.66391220867303702</v>
      </c>
      <c r="G110" s="2">
        <v>-2.31116405842682</v>
      </c>
      <c r="H110" s="2" t="s">
        <v>80</v>
      </c>
    </row>
    <row r="111" spans="1:8" ht="17" x14ac:dyDescent="0.2">
      <c r="A111" s="1" t="s">
        <v>120</v>
      </c>
      <c r="B111" s="1">
        <f>VLOOKUP(A111,[1]globalMicroreact!$A:$K,11,FALSE)</f>
        <v>3</v>
      </c>
      <c r="C111" s="2">
        <v>-1.3557346027150099</v>
      </c>
      <c r="D111" s="2">
        <v>-0.47403468597003701</v>
      </c>
      <c r="E111" s="2">
        <v>-0.22929407239098901</v>
      </c>
      <c r="F111" s="2">
        <v>-9.2083070745828402E-2</v>
      </c>
      <c r="G111" s="2">
        <v>-2.34203210482762</v>
      </c>
      <c r="H111" s="2" t="s">
        <v>80</v>
      </c>
    </row>
    <row r="112" spans="1:8" ht="17" x14ac:dyDescent="0.2">
      <c r="A112" s="1" t="s">
        <v>121</v>
      </c>
      <c r="B112" s="1">
        <f>VLOOKUP(A112,[1]globalMicroreact!$A:$K,11,FALSE)</f>
        <v>3</v>
      </c>
      <c r="C112" s="2">
        <v>-2.8531793137089698</v>
      </c>
      <c r="D112" s="2">
        <v>-0.99533387573754895</v>
      </c>
      <c r="E112" s="2">
        <v>-0.78124483951646695</v>
      </c>
      <c r="F112" s="2">
        <v>-0.90350177610901306</v>
      </c>
      <c r="G112" s="2">
        <v>-2.3285735190232799</v>
      </c>
      <c r="H112" s="2" t="s">
        <v>80</v>
      </c>
    </row>
    <row r="113" spans="1:8" ht="17" x14ac:dyDescent="0.2">
      <c r="A113" s="1" t="s">
        <v>122</v>
      </c>
      <c r="B113" s="1">
        <f>VLOOKUP(A113,[1]globalMicroreact!$A:$K,11,FALSE)</f>
        <v>5</v>
      </c>
      <c r="C113" s="2">
        <v>-2.35112958908215</v>
      </c>
      <c r="D113" s="2">
        <v>-0.64926086241137204</v>
      </c>
      <c r="E113" s="2">
        <v>-0.64718242496496303</v>
      </c>
      <c r="F113" s="2">
        <v>-0.42877054446894902</v>
      </c>
      <c r="G113" s="2">
        <v>-2.8377193965797098</v>
      </c>
      <c r="H113" s="2" t="s">
        <v>80</v>
      </c>
    </row>
    <row r="114" spans="1:8" ht="17" x14ac:dyDescent="0.2">
      <c r="A114" s="1" t="s">
        <v>123</v>
      </c>
      <c r="B114" s="1">
        <f>VLOOKUP(A114,[1]globalMicroreact!$A:$K,11,FALSE)</f>
        <v>5</v>
      </c>
      <c r="C114" s="2">
        <v>-0.600604565262014</v>
      </c>
      <c r="D114" s="2">
        <v>7.1610912912628194E-2</v>
      </c>
      <c r="E114" s="2">
        <v>2.07805111501306E-2</v>
      </c>
      <c r="F114" s="2">
        <v>0.39352080429436997</v>
      </c>
      <c r="G114" s="2">
        <v>-1.8762861750528299</v>
      </c>
      <c r="H114" s="2" t="s">
        <v>80</v>
      </c>
    </row>
    <row r="115" spans="1:8" ht="17" x14ac:dyDescent="0.2">
      <c r="A115" s="1" t="s">
        <v>124</v>
      </c>
      <c r="B115" s="1">
        <f>VLOOKUP(A115,[1]globalMicroreact!$A:$K,11,FALSE)</f>
        <v>4</v>
      </c>
      <c r="C115" s="2">
        <v>-1.77870077930665</v>
      </c>
      <c r="D115" s="2">
        <v>-0.53617180195962799</v>
      </c>
      <c r="E115" s="2">
        <v>-0.66311430088587997</v>
      </c>
      <c r="F115" s="2">
        <v>-0.16067111195238401</v>
      </c>
      <c r="G115" s="2">
        <v>-2.4193509106284101</v>
      </c>
      <c r="H115" s="2" t="s">
        <v>80</v>
      </c>
    </row>
    <row r="116" spans="1:8" ht="17" x14ac:dyDescent="0.2">
      <c r="A116" s="1" t="s">
        <v>125</v>
      </c>
      <c r="B116" s="1">
        <f>VLOOKUP(A116,[1]globalMicroreact!$A:$K,11,FALSE)</f>
        <v>5</v>
      </c>
      <c r="C116" s="2">
        <v>-1.13150583787197</v>
      </c>
      <c r="D116" s="2">
        <v>-0.227690574678096</v>
      </c>
      <c r="E116" s="2">
        <v>-3.46057964751589E-2</v>
      </c>
      <c r="F116" s="2">
        <v>-0.256375491214551</v>
      </c>
      <c r="G116" s="2">
        <v>-2.6908932793992899</v>
      </c>
      <c r="H116" s="2" t="s">
        <v>80</v>
      </c>
    </row>
    <row r="117" spans="1:8" ht="17" x14ac:dyDescent="0.2">
      <c r="A117" s="1" t="s">
        <v>126</v>
      </c>
      <c r="B117" s="1">
        <f>VLOOKUP(A117,[1]globalMicroreact!$A:$K,11,FALSE)</f>
        <v>5</v>
      </c>
      <c r="C117" s="2">
        <v>0.33542245407071603</v>
      </c>
      <c r="D117" s="2">
        <v>-0.42314969844327999</v>
      </c>
      <c r="E117" s="2">
        <v>4.8841013209510398E-2</v>
      </c>
      <c r="F117" s="2">
        <v>-0.46651845810467901</v>
      </c>
      <c r="G117" s="2">
        <v>1.2667999796320999</v>
      </c>
      <c r="H117" s="2" t="s">
        <v>80</v>
      </c>
    </row>
    <row r="118" spans="1:8" ht="17" x14ac:dyDescent="0.2">
      <c r="A118" s="1" t="s">
        <v>127</v>
      </c>
      <c r="B118" s="1">
        <f>VLOOKUP(A118,[1]globalMicroreact!$A:$K,11,FALSE)</f>
        <v>1</v>
      </c>
      <c r="C118" s="2">
        <v>6.7278303553316696E-2</v>
      </c>
      <c r="D118" s="2">
        <v>-0.61187105073401804</v>
      </c>
      <c r="E118" s="2">
        <v>0.36296052401724699</v>
      </c>
      <c r="F118" s="2">
        <v>-0.89247268963564796</v>
      </c>
      <c r="G118" s="2">
        <v>1.6113577695983401</v>
      </c>
      <c r="H118" s="2" t="s">
        <v>80</v>
      </c>
    </row>
    <row r="119" spans="1:8" ht="17" x14ac:dyDescent="0.2">
      <c r="A119" s="1" t="s">
        <v>128</v>
      </c>
      <c r="B119" s="1">
        <f>VLOOKUP(A119,[1]globalMicroreact!$A:$K,11,FALSE)</f>
        <v>4</v>
      </c>
      <c r="C119" s="2">
        <v>-2.9020910755711902</v>
      </c>
      <c r="D119" s="2">
        <v>-1.31460437405051</v>
      </c>
      <c r="E119" s="2">
        <v>-0.74605857911281903</v>
      </c>
      <c r="F119" s="2">
        <v>-0.98657329861112897</v>
      </c>
      <c r="G119" s="2">
        <v>-2.4830125138894501</v>
      </c>
      <c r="H119" s="2" t="s">
        <v>80</v>
      </c>
    </row>
    <row r="120" spans="1:8" ht="17" x14ac:dyDescent="0.2">
      <c r="A120" s="1" t="s">
        <v>129</v>
      </c>
      <c r="B120" s="1">
        <f>VLOOKUP(A120,[1]globalMicroreact!$A:$K,11,FALSE)</f>
        <v>4</v>
      </c>
      <c r="C120" s="2">
        <v>-3.1468576181020702</v>
      </c>
      <c r="D120" s="2">
        <v>-1.60518276649922</v>
      </c>
      <c r="E120" s="2">
        <v>-0.64787038569125899</v>
      </c>
      <c r="F120" s="2">
        <v>-0.85586902159267897</v>
      </c>
      <c r="G120" s="2">
        <v>-1.86909485838585</v>
      </c>
      <c r="H120" s="2" t="s">
        <v>80</v>
      </c>
    </row>
    <row r="121" spans="1:8" ht="17" x14ac:dyDescent="0.2">
      <c r="A121" s="1" t="s">
        <v>130</v>
      </c>
      <c r="B121" s="1">
        <f>VLOOKUP(A121,[1]globalMicroreact!$A:$K,11,FALSE)</f>
        <v>5</v>
      </c>
      <c r="C121" s="2">
        <v>-2.0334360961974598</v>
      </c>
      <c r="D121" s="2">
        <v>-0.69721729931530096</v>
      </c>
      <c r="E121" s="2">
        <v>0.115442275213981</v>
      </c>
      <c r="F121" s="2">
        <v>-0.58957919449752105</v>
      </c>
      <c r="G121" s="2">
        <v>-2.20285154110584</v>
      </c>
      <c r="H121" s="2" t="s">
        <v>80</v>
      </c>
    </row>
    <row r="122" spans="1:8" ht="17" x14ac:dyDescent="0.2">
      <c r="A122" s="1" t="s">
        <v>131</v>
      </c>
      <c r="B122" s="1">
        <f>VLOOKUP(A122,[1]globalMicroreact!$A:$K,11,FALSE)</f>
        <v>5</v>
      </c>
      <c r="C122" s="2">
        <v>-1.71083707157371</v>
      </c>
      <c r="D122" s="2">
        <v>-8.0778627149241097E-2</v>
      </c>
      <c r="E122" s="2">
        <v>3.6648540370042303E-2</v>
      </c>
      <c r="F122" s="2">
        <v>-0.59062856741558301</v>
      </c>
      <c r="G122" s="2">
        <v>-2.5377282499384801</v>
      </c>
      <c r="H122" s="2" t="s">
        <v>80</v>
      </c>
    </row>
    <row r="123" spans="1:8" ht="17" x14ac:dyDescent="0.2">
      <c r="A123" s="1" t="s">
        <v>132</v>
      </c>
      <c r="B123" s="1">
        <f>VLOOKUP(A123,[1]globalMicroreact!$A:$K,11,FALSE)</f>
        <v>4</v>
      </c>
      <c r="C123" s="2">
        <v>-2.6083104625373799</v>
      </c>
      <c r="D123" s="2">
        <v>-1.36393787361259</v>
      </c>
      <c r="E123" s="2">
        <v>-0.73455934456549699</v>
      </c>
      <c r="F123" s="2">
        <v>-0.98793209480307698</v>
      </c>
      <c r="G123" s="2">
        <v>-2.5966830018486098</v>
      </c>
      <c r="H123" s="2" t="s">
        <v>80</v>
      </c>
    </row>
    <row r="124" spans="1:8" ht="17" x14ac:dyDescent="0.2">
      <c r="A124" s="1" t="s">
        <v>133</v>
      </c>
      <c r="B124" s="1">
        <f>VLOOKUP(A124,[1]globalMicroreact!$A:$K,11,FALSE)</f>
        <v>4</v>
      </c>
      <c r="C124" s="2">
        <v>-0.101602378331912</v>
      </c>
      <c r="D124" s="2">
        <v>1.13548667563913</v>
      </c>
      <c r="E124" s="2">
        <v>1.60154616905429</v>
      </c>
      <c r="F124" s="2">
        <v>2.7790947816998002</v>
      </c>
      <c r="G124" s="2">
        <v>-2.5006700696486801</v>
      </c>
      <c r="H124" s="2" t="s">
        <v>80</v>
      </c>
    </row>
    <row r="125" spans="1:8" ht="17" x14ac:dyDescent="0.2">
      <c r="A125" s="1" t="s">
        <v>134</v>
      </c>
      <c r="B125" s="1">
        <f>VLOOKUP(A125,[1]globalMicroreact!$A:$K,11,FALSE)</f>
        <v>5</v>
      </c>
      <c r="C125" s="2">
        <v>-2.0075661896757602</v>
      </c>
      <c r="D125" s="2">
        <v>-0.805932827162676</v>
      </c>
      <c r="E125" s="2">
        <v>-0.523353774550679</v>
      </c>
      <c r="F125" s="2">
        <v>-0.95472935859268304</v>
      </c>
      <c r="G125" s="2">
        <v>-2.8154405075972799</v>
      </c>
      <c r="H125" s="2" t="s">
        <v>80</v>
      </c>
    </row>
    <row r="126" spans="1:8" ht="17" x14ac:dyDescent="0.2">
      <c r="A126" s="1" t="s">
        <v>135</v>
      </c>
      <c r="B126" s="1">
        <f>VLOOKUP(A126,[1]globalMicroreact!$A:$K,11,FALSE)</f>
        <v>3</v>
      </c>
      <c r="C126" s="2">
        <v>-2.58433117554392</v>
      </c>
      <c r="D126" s="2">
        <v>-1.5232047039407699</v>
      </c>
      <c r="E126" s="2">
        <v>-0.77892744874607101</v>
      </c>
      <c r="F126" s="2">
        <v>-0.50861913040784201</v>
      </c>
      <c r="G126" s="2">
        <v>-2.0832218802646798</v>
      </c>
      <c r="H126" s="2" t="s">
        <v>80</v>
      </c>
    </row>
    <row r="127" spans="1:8" ht="17" x14ac:dyDescent="0.2">
      <c r="A127" s="1" t="s">
        <v>136</v>
      </c>
      <c r="B127" s="1">
        <f>VLOOKUP(A127,[1]globalMicroreact!$A:$K,11,FALSE)</f>
        <v>5</v>
      </c>
      <c r="C127" s="2">
        <v>-2.07457254477894</v>
      </c>
      <c r="D127" s="2">
        <v>-1.51523763530075</v>
      </c>
      <c r="E127" s="2">
        <v>-0.57432530608416499</v>
      </c>
      <c r="F127" s="2">
        <v>-1.0909594316053499</v>
      </c>
      <c r="G127" s="2">
        <v>-2.5941284035457399</v>
      </c>
      <c r="H127" s="2" t="s">
        <v>80</v>
      </c>
    </row>
    <row r="128" spans="1:8" ht="17" x14ac:dyDescent="0.2">
      <c r="A128" s="1" t="s">
        <v>137</v>
      </c>
      <c r="B128" s="1">
        <f>VLOOKUP(A128,[1]globalMicroreact!$A:$K,11,FALSE)</f>
        <v>5</v>
      </c>
      <c r="C128" s="2">
        <v>-3.2725113571804201</v>
      </c>
      <c r="D128" s="2">
        <v>0.256204738856602</v>
      </c>
      <c r="E128" s="2">
        <v>-0.49777495163436403</v>
      </c>
      <c r="F128" s="2">
        <v>-0.5065884078913</v>
      </c>
      <c r="G128" s="2">
        <v>-2.9346437582207998</v>
      </c>
      <c r="H128" s="2" t="s">
        <v>80</v>
      </c>
    </row>
    <row r="129" spans="1:8" ht="17" x14ac:dyDescent="0.2">
      <c r="A129" s="1" t="s">
        <v>138</v>
      </c>
      <c r="B129" s="1">
        <f>VLOOKUP(A129,[1]globalMicroreact!$A:$K,11,FALSE)</f>
        <v>4</v>
      </c>
      <c r="C129" s="2">
        <v>-0.55054653365426398</v>
      </c>
      <c r="D129" s="2">
        <v>1.6691618878744101</v>
      </c>
      <c r="E129" s="2">
        <v>1.1643671300967</v>
      </c>
      <c r="F129" s="2">
        <v>1.40328042510439</v>
      </c>
      <c r="G129" s="2">
        <v>-1.0410749869471501</v>
      </c>
      <c r="H129" s="2" t="s">
        <v>80</v>
      </c>
    </row>
    <row r="130" spans="1:8" ht="17" x14ac:dyDescent="0.2">
      <c r="A130" s="1" t="s">
        <v>139</v>
      </c>
      <c r="B130" s="1">
        <f>VLOOKUP(A130,[1]globalMicroreact!$A:$K,11,FALSE)</f>
        <v>5</v>
      </c>
      <c r="C130" s="2">
        <v>-2.2151484980559499</v>
      </c>
      <c r="D130" s="2">
        <v>-0.195875853478959</v>
      </c>
      <c r="E130" s="2">
        <v>0.121367880211785</v>
      </c>
      <c r="F130" s="2">
        <v>-0.42532799764512902</v>
      </c>
      <c r="G130" s="2">
        <v>-2.80821441217986</v>
      </c>
      <c r="H130" s="2" t="s">
        <v>80</v>
      </c>
    </row>
    <row r="131" spans="1:8" ht="17" x14ac:dyDescent="0.2">
      <c r="A131" s="1" t="s">
        <v>140</v>
      </c>
      <c r="B131" s="1">
        <f>VLOOKUP(A131,[1]globalMicroreact!$A:$K,11,FALSE)</f>
        <v>4</v>
      </c>
      <c r="C131" s="2">
        <v>-1.6910079650130501</v>
      </c>
      <c r="D131" s="2">
        <v>4.4436929739289296E-3</v>
      </c>
      <c r="E131" s="2">
        <v>6.0564858187500098E-2</v>
      </c>
      <c r="F131" s="2">
        <v>-2.01127005027723E-2</v>
      </c>
      <c r="G131" s="2">
        <v>-2.2891988705181201</v>
      </c>
      <c r="H131" s="2" t="s">
        <v>80</v>
      </c>
    </row>
    <row r="132" spans="1:8" ht="17" x14ac:dyDescent="0.2">
      <c r="A132" s="1" t="s">
        <v>141</v>
      </c>
      <c r="B132" s="1">
        <f>VLOOKUP(A132,[1]globalMicroreact!$A:$K,11,FALSE)</f>
        <v>1</v>
      </c>
      <c r="C132" s="2">
        <v>-1.55830095372128</v>
      </c>
      <c r="D132" s="2">
        <v>-0.36468788826515702</v>
      </c>
      <c r="E132" s="2">
        <v>0.25953593388114599</v>
      </c>
      <c r="F132" s="2">
        <v>-0.72175401382676396</v>
      </c>
      <c r="G132" s="2">
        <v>-2.0102394812611402</v>
      </c>
      <c r="H132" s="2" t="s">
        <v>80</v>
      </c>
    </row>
    <row r="133" spans="1:8" ht="17" x14ac:dyDescent="0.2">
      <c r="A133" s="1" t="s">
        <v>142</v>
      </c>
      <c r="B133" s="1">
        <f>VLOOKUP(A133,[1]globalMicroreact!$A:$K,11,FALSE)</f>
        <v>3</v>
      </c>
      <c r="C133" s="2">
        <v>-3.1235166781980701</v>
      </c>
      <c r="D133" s="2">
        <v>-0.38734288315616</v>
      </c>
      <c r="E133" s="2">
        <v>-0.41156980468471399</v>
      </c>
      <c r="F133" s="2">
        <v>-0.31456548563613101</v>
      </c>
      <c r="G133" s="2">
        <v>-2.1704725927607602</v>
      </c>
      <c r="H133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Van Rhijn</dc:creator>
  <cp:lastModifiedBy>Norman Van Rhijn</cp:lastModifiedBy>
  <dcterms:created xsi:type="dcterms:W3CDTF">2026-09-03T08:22:19Z</dcterms:created>
  <dcterms:modified xsi:type="dcterms:W3CDTF">2026-09-03T08:22:34Z</dcterms:modified>
</cp:coreProperties>
</file>